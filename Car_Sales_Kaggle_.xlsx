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9D8052C-6946-4418-ADA5-9D30DCCE839C}" xr6:coauthVersionLast="47" xr6:coauthVersionMax="47" xr10:uidLastSave="{00000000-0000-0000-0000-000000000000}"/>
  <bookViews>
    <workbookView xWindow="-110" yWindow="-110" windowWidth="19420" windowHeight="1030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Slicer_Manufacturer">#N/A</definedName>
    <definedName name="Slicer_Model">#N/A</definedName>
  </definedNames>
  <calcPr calcId="191028"/>
  <pivotCaches>
    <pivotCache cacheId="1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J156" i="3"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2" i="1" l="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<sst xmlns="http://schemas.openxmlformats.org/spreadsheetml/2006/main" count="977" uniqueCount="209">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</sst>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2">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5050"/>
      <color rgb="FFFF9999"/>
      <color rgb="FFFFCC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237962511323248E-2"/>
          <c:y val="0.16725597256547312"/>
          <c:w val="0.89714960629921259"/>
          <c:h val="0.68741819143110705"/>
        </c:manualLayout>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49B8-4FDB-814B-9F3B20E8AC5D}"/>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303235515425131E-2"/>
          <c:y val="0.17992719888116177"/>
          <c:w val="0.77384025642392895"/>
          <c:h val="0.74221392034024947"/>
        </c:manualLayout>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90F-49C5-BF2E-C41EB67EB6A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90F-49C5-BF2E-C41EB67EB6A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90F-49C5-BF2E-C41EB67EB6A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90F-49C5-BF2E-C41EB67EB6A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90F-49C5-BF2E-C41EB67EB6A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90F-49C5-BF2E-C41EB67EB6A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790F-49C5-BF2E-C41EB67EB6AD}"/>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[Car_Sales_Kaggle_.xlsx]Bar Chart!PivotTable4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and Year</a:t>
            </a:r>
            <a:r>
              <a:rPr lang="en-US" baseline="0"/>
              <a:t> resaleValue of German cars </a:t>
            </a:r>
            <a:endParaRPr lang="en-US"/>
          </a:p>
        </c:rich>
      </c:tx>
      <c:layout>
        <c:manualLayout>
          <c:xMode val="edge"/>
          <c:yMode val="edge"/>
          <c:x val="0.24002665498814993"/>
          <c:y val="1.13513499019344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1348095072415"/>
          <c:y val="0.10873490843989252"/>
          <c:w val="0.83303125492326935"/>
          <c:h val="0.79166787082342571"/>
        </c:manualLayout>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4AAD-4C60-A428-6135009EFDCE}"/>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4AAD-4C60-A428-6135009EFDCE}"/>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layout>
        <c:manualLayout>
          <c:xMode val="edge"/>
          <c:yMode val="edge"/>
          <c:x val="0.61855723092870951"/>
          <c:y val="0.79135563421719934"/>
          <c:w val="0.36394710359040972"/>
          <c:h val="8.73839428750019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formatIdx="0">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formatIdx="0">
          <cx:tx>
            <cx:txData>
              <cx:f/>
              <cx:v>Unit Sales</cx:v>
            </cx:txData>
          </cx:tx>
          <cx:dataLabels pos="ctr">
            <cx:visibility seriesName="0" categoryName="1" value="0"/>
          </cx:dataLabels>
          <cx:dataId val="0"/>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4475" y="4791075"/>
              <a:ext cx="4318000" cy="2654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36286</xdr:colOff>
      <xdr:row>19</xdr:row>
      <xdr:rowOff>9976</xdr:rowOff>
    </xdr:from>
    <xdr:to>
      <xdr:col>9</xdr:col>
      <xdr:colOff>453572</xdr:colOff>
      <xdr:row>36</xdr:row>
      <xdr:rowOff>181427</xdr:rowOff>
    </xdr:to>
    <xdr:graphicFrame macro="">
      <xdr:nvGraphicFramePr>
        <xdr:cNvPr id="2" name="Chart 1">
          <a:extLst>
            <a:ext uri="{FF2B5EF4-FFF2-40B4-BE49-F238E27FC236}">
              <a16:creationId xmlns:a16="http://schemas.microsoft.com/office/drawing/2014/main" id="{1DFCEA65-42BE-40E6-ABFB-3B6A69ED4638}"/>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5442</xdr:colOff>
      <xdr:row>0</xdr:row>
      <xdr:rowOff>112484</xdr:rowOff>
    </xdr:from>
    <xdr:to>
      <xdr:col>22</xdr:col>
      <xdr:colOff>199571</xdr:colOff>
      <xdr:row>19</xdr:row>
      <xdr:rowOff>18142</xdr:rowOff>
    </xdr:to>
    <xdr:graphicFrame macro="">
      <xdr:nvGraphicFramePr>
        <xdr:cNvPr id="3" name="Chart 2">
          <a:extLst>
            <a:ext uri="{FF2B5EF4-FFF2-40B4-BE49-F238E27FC236}">
              <a16:creationId xmlns:a16="http://schemas.microsoft.com/office/drawing/2014/main" id="{F3B0E2E9-66FF-403F-AD5B-BE1D6A812B8A}"/>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453572</xdr:colOff>
      <xdr:row>19</xdr:row>
      <xdr:rowOff>9072</xdr:rowOff>
    </xdr:from>
    <xdr:to>
      <xdr:col>18</xdr:col>
      <xdr:colOff>326571</xdr:colOff>
      <xdr:row>37</xdr:row>
      <xdr:rowOff>9072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5175C7C-D539-47DF-B143-0427CD109C3D}"/>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923643" y="3456215"/>
              <a:ext cx="5343071" cy="32657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344714</xdr:colOff>
      <xdr:row>19</xdr:row>
      <xdr:rowOff>27215</xdr:rowOff>
    </xdr:from>
    <xdr:to>
      <xdr:col>22</xdr:col>
      <xdr:colOff>217715</xdr:colOff>
      <xdr:row>37</xdr:row>
      <xdr:rowOff>81643</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A887A60B-D4DD-4B5C-A69F-EA910DAE1A7C}"/>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11284857" y="3474358"/>
              <a:ext cx="2304144" cy="33201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45357</xdr:colOff>
      <xdr:row>0</xdr:row>
      <xdr:rowOff>90714</xdr:rowOff>
    </xdr:from>
    <xdr:to>
      <xdr:col>12</xdr:col>
      <xdr:colOff>417285</xdr:colOff>
      <xdr:row>19</xdr:row>
      <xdr:rowOff>0</xdr:rowOff>
    </xdr:to>
    <xdr:graphicFrame macro="">
      <xdr:nvGraphicFramePr>
        <xdr:cNvPr id="6" name="Chart 5">
          <a:extLst>
            <a:ext uri="{FF2B5EF4-FFF2-40B4-BE49-F238E27FC236}">
              <a16:creationId xmlns:a16="http://schemas.microsoft.com/office/drawing/2014/main" id="{F051C69E-CCAD-4699-AAAE-4024EF939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435428</xdr:colOff>
      <xdr:row>0</xdr:row>
      <xdr:rowOff>90714</xdr:rowOff>
    </xdr:from>
    <xdr:to>
      <xdr:col>15</xdr:col>
      <xdr:colOff>27214</xdr:colOff>
      <xdr:row>19</xdr:row>
      <xdr:rowOff>9071</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4AF2728D-A26B-4653-9368-62C071FBBADD}"/>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7728857" y="90714"/>
              <a:ext cx="1415143" cy="336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71">
      <pivotArea outline="0" collapsedLevelsAreSubtotals="1" fieldPosition="0">
        <references count="1">
          <reference field="4294967294" count="1" selected="0">
            <x v="0"/>
          </reference>
        </references>
      </pivotArea>
    </format>
    <format dxfId="70">
      <pivotArea dataOnly="0" labelOnly="1" outline="0" fieldPosition="0">
        <references count="1">
          <reference field="4294967294" count="1">
            <x v="0"/>
          </reference>
        </references>
      </pivotArea>
    </format>
    <format dxfId="69">
      <pivotArea outline="0" collapsedLevelsAreSubtotals="1" fieldPosition="0">
        <references count="1">
          <reference field="4294967294" count="1" selected="0">
            <x v="1"/>
          </reference>
        </references>
      </pivotArea>
    </format>
    <format dxfId="68">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01A01DB5-6715-403C-98D7-21B9527CFE7F}"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9E26CFAE-6B77-4341-89CD-55FAB32BCEF3}"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91" headerRowCellStyle="60% - Accent1">
  <autoFilter ref="A1:S156" xr:uid="{142A1155-8F99-4580-8274-3FFCD265F860}"/>
  <tableColumns count="19">
    <tableColumn id="2" xr3:uid="{0090DD31-AAEF-418B-A6D5-5A47F973884A}" name="Manufacturer" dataDxfId="90" dataCellStyle="60% - Accent2"/>
    <tableColumn id="1" xr3:uid="{1D457C4B-D2B8-4760-9FBD-20980339C812}" name="Model" dataDxfId="89" dataCellStyle="60% - Accent6"/>
    <tableColumn id="4" xr3:uid="{8522711B-6353-4D72-9921-4036DEB24699}" name="Unit Sales" dataDxfId="88"/>
    <tableColumn id="5" xr3:uid="{3F2EFF05-CEC1-43C4-8457-EC0A04BFE37D}" name="Price" dataDxfId="87"/>
    <tableColumn id="6" xr3:uid="{D0C7E9A3-6A78-4834-995F-71A07F7E5FEC}" name="Year Resale Value" dataDxfId="86"/>
    <tableColumn id="7" xr3:uid="{2892AE5C-2583-41F9-9297-9EA4C2895B5F}" name="Retention %" dataDxfId="85" dataCellStyle="Percent">
      <calculatedColumnFormula>SUM(E2/D2)</calculatedColumnFormula>
    </tableColumn>
    <tableColumn id="8" xr3:uid="{40A7E790-705B-474C-BD5E-B93CFDEAAD37}" name="Retention Value" dataDxfId="84" dataCellStyle="Percent">
      <calculatedColumnFormula>IF(F2&gt;69%, "GOOD", "POOR")</calculatedColumnFormula>
    </tableColumn>
    <tableColumn id="9" xr3:uid="{9FD1D782-0EB9-4AC8-9FB6-1F5437BC6100}" name="Engine Size" dataDxfId="83"/>
    <tableColumn id="10" xr3:uid="{97F7DE8D-9589-426B-AA4F-2E3F8BB7A81B}" name="Horsepower" dataDxfId="82"/>
    <tableColumn id="11" xr3:uid="{4CB9C68E-A6F1-497A-9877-E41495059145}" name="HP Level" dataDxfId="81">
      <calculatedColumnFormula array="1">_xlfn.IFS(I2&gt;299,"High HP",I2&gt;99,"Medium HP",I2&lt;100,"Low HP")</calculatedColumnFormula>
    </tableColumn>
    <tableColumn id="3" xr3:uid="{3733B2DD-D65D-439A-9EC2-28F65DC369D7}" name="Vehicle_type" dataDxfId="80"/>
    <tableColumn id="17" xr3:uid="{5136D0F0-2F8F-4D70-995F-CE39B1996127}" name="Fuel Efficiency" dataDxfId="79"/>
    <tableColumn id="19" xr3:uid="{5F133F36-F1C6-453A-A10C-A9917A623804}" name="Power Perf Factor" dataDxfId="78"/>
    <tableColumn id="12" xr3:uid="{6E551230-1170-40DA-8649-BDDA922271D8}" name="Wheelbase" dataDxfId="77"/>
    <tableColumn id="13" xr3:uid="{53A36FF3-E823-43B4-958B-9E02EC2B56F7}" name="Width" dataDxfId="76"/>
    <tableColumn id="14" xr3:uid="{0728B768-EB40-4E54-9F8B-8FC310D3272C}" name="Length" dataDxfId="75"/>
    <tableColumn id="15" xr3:uid="{2264EB11-0818-4B2A-A027-42B066FA9869}" name="Curb Weight" dataDxfId="74"/>
    <tableColumn id="16" xr3:uid="{58B24934-BE7E-4FBD-9F96-CEF0725C6117}" name="Fuel Capacity" dataDxfId="73"/>
    <tableColumn id="18" xr3:uid="{00FF364F-DDBE-4E2C-8F3E-DBDA321FA22A}" name="Latest Launch" dataDxfId="7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67"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66" dataCellStyle="60% - Accent2"/>
    <tableColumn id="1" xr3:uid="{91732ACF-B59B-4736-A06E-BE7ADB4669C2}" name="Model" dataDxfId="65" dataCellStyle="60% - Accent6"/>
    <tableColumn id="4" xr3:uid="{AC38EB39-9FE7-4815-9A95-BD4739621249}" name="Unit Sales" dataDxfId="64"/>
    <tableColumn id="5" xr3:uid="{48155666-2FFE-4435-98FA-77A71F62A4CD}" name="Price" dataDxfId="63"/>
    <tableColumn id="6" xr3:uid="{E6C9B305-43C4-4AA9-AF99-52F226A2A489}" name="Year Resale Value" dataDxfId="62"/>
    <tableColumn id="7" xr3:uid="{53AB75B2-B4C7-4B08-A310-E333B5D08F1E}" name="Retention %" dataDxfId="61" dataCellStyle="Percent">
      <calculatedColumnFormula>SUM(E2/D2)</calculatedColumnFormula>
    </tableColumn>
    <tableColumn id="8" xr3:uid="{14C0ED08-C800-44FC-AEFF-AD4CB3BA4CE3}" name="Retention Value" dataDxfId="60" dataCellStyle="Percent">
      <calculatedColumnFormula>IF(F2&gt;69%, "GOOD", "POOR")</calculatedColumnFormula>
    </tableColumn>
    <tableColumn id="9" xr3:uid="{2D1C7A45-6CF4-4F66-812C-40A50CEEFE3C}" name="Engine Size" dataDxfId="59"/>
    <tableColumn id="10" xr3:uid="{6F868495-C5F3-4EB0-A931-7DB5EE263B04}" name="Horsepower" dataDxfId="58"/>
    <tableColumn id="11" xr3:uid="{21D8283C-331B-4FBC-ADCB-511EC8FEEA5B}" name="HP Level" dataDxfId="57">
      <calculatedColumnFormula array="1">_xlfn.IFS(I2&gt;299,"High HP",I2&gt;99,"Medium HP",I2&lt;100,"Low HP")</calculatedColumnFormula>
    </tableColumn>
    <tableColumn id="3" xr3:uid="{D8DD2294-3DBB-4222-BDE1-25B41E8C6E23}" name="Vehicle_type" dataDxfId="56"/>
    <tableColumn id="17" xr3:uid="{41974CDD-17C2-4811-8CA1-4FE62EF36874}" name="Fuel Efficiency" dataDxfId="55"/>
    <tableColumn id="19" xr3:uid="{FF974689-EC10-4BD7-931E-F6D2FC8A04BB}" name="Power Perf Factor" dataDxfId="54"/>
    <tableColumn id="16" xr3:uid="{A47D6D7B-55BF-4939-8425-7A7DC0E408AE}" name="Fuel Capacity" dataDxfId="53"/>
    <tableColumn id="12" xr3:uid="{59E0B2CA-E73A-4CDD-A62F-F1A4C75E90F7}" name="Wheelbase" dataDxfId="52"/>
    <tableColumn id="13" xr3:uid="{1318511A-327E-4603-9CFA-8A67BC21BEB8}" name="Width" dataDxfId="51"/>
    <tableColumn id="14" xr3:uid="{B48108FE-8EF4-43AB-ACEA-F7B30A9D3C55}" name="Length" dataDxfId="50"/>
    <tableColumn id="15" xr3:uid="{1C70CD07-6AE4-4D29-95C6-1D02DF8772F3}" name="Curb Weight" dataDxfId="49"/>
    <tableColumn id="18" xr3:uid="{801588FA-173B-403F-BAF7-D1F66FFF62EA}" name="Latest Launch" dataDxfId="48"/>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B1" zoomScaleNormal="100" workbookViewId="0">
      <selection activeCell="H7" sqref="H7"/>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1" customWidth="1"/>
    <col min="15" max="15" width="6.453125" customWidth="1"/>
    <col min="16" max="16" width="7" customWidth="1"/>
    <col min="17" max="17" width="12.36328125" customWidth="1"/>
    <col min="18" max="18" width="13.1796875" customWidth="1"/>
    <col min="19" max="19" width="13.453125" customWidth="1"/>
    <col min="20" max="22" width="8.81640625"/>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5" priority="3" operator="containsText" text="POOR">
      <formula>NOT(ISERROR(SEARCH("POOR",G2)))</formula>
    </cfRule>
    <cfRule type="containsText" dxfId="44"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E1" workbookViewId="0">
      <selection activeCell="S22" sqref="S22"/>
    </sheetView>
  </sheetViews>
  <sheetFormatPr defaultColWidth="8.81640625" defaultRowHeight="14.5" x14ac:dyDescent="0.35"/>
  <cols>
    <col min="1" max="1" width="12.6328125" bestFit="1" customWidth="1"/>
    <col min="2" max="2" width="25.26953125" style="17" bestFit="1" customWidth="1"/>
    <col min="3" max="3" width="14.36328125" style="17" bestFit="1" customWidth="1"/>
    <col min="4" max="4" width="23.81640625" bestFit="1" customWidth="1"/>
    <col min="5" max="5" width="10" bestFit="1" customWidth="1"/>
    <col min="6" max="6" width="17" bestFit="1" customWidth="1"/>
    <col min="7" max="7" width="21.6328125" bestFit="1" customWidth="1"/>
    <col min="8" max="135" width="6" bestFit="1" customWidth="1"/>
    <col min="136" max="156" width="7" bestFit="1" customWidth="1"/>
    <col min="157" max="157" width="11.36328125" bestFit="1" customWidth="1"/>
  </cols>
  <sheetData>
    <row r="3" spans="1:3" x14ac:dyDescent="0.35">
      <c r="A3" s="15" t="s">
        <v>205</v>
      </c>
      <c r="B3" s="17" t="s">
        <v>206</v>
      </c>
      <c r="C3" s="17" t="s">
        <v>207</v>
      </c>
    </row>
    <row r="4" spans="1:3" x14ac:dyDescent="0.35">
      <c r="A4" s="16" t="s">
        <v>24</v>
      </c>
      <c r="B4" s="17">
        <v>28270</v>
      </c>
      <c r="C4" s="17">
        <v>39980</v>
      </c>
    </row>
    <row r="5" spans="1:3" x14ac:dyDescent="0.35">
      <c r="A5" s="16" t="s">
        <v>28</v>
      </c>
      <c r="B5" s="17">
        <v>29766.666666666668</v>
      </c>
      <c r="C5" s="17">
        <v>33096.666666666664</v>
      </c>
    </row>
    <row r="6" spans="1:3" x14ac:dyDescent="0.35">
      <c r="A6" s="16" t="s">
        <v>129</v>
      </c>
      <c r="B6" s="17">
        <v>39876.555555555555</v>
      </c>
      <c r="C6" s="17">
        <v>52916.666666666664</v>
      </c>
    </row>
    <row r="7" spans="1:3" x14ac:dyDescent="0.35">
      <c r="A7" s="16" t="s">
        <v>165</v>
      </c>
      <c r="B7" s="17">
        <v>56475</v>
      </c>
      <c r="C7" s="17">
        <v>62473.333333333336</v>
      </c>
    </row>
    <row r="8" spans="1:3" x14ac:dyDescent="0.35">
      <c r="A8" s="16" t="s">
        <v>191</v>
      </c>
      <c r="B8" s="17">
        <v>13951.833333333334</v>
      </c>
      <c r="C8" s="17">
        <v>17698.333333333332</v>
      </c>
    </row>
    <row r="9" spans="1:3" x14ac:dyDescent="0.35">
      <c r="A9" s="16" t="s">
        <v>208</v>
      </c>
      <c r="B9" s="17">
        <v>32755.625</v>
      </c>
      <c r="C9" s="17">
        <v>41212.083333333336</v>
      </c>
    </row>
    <row r="10" spans="1:3" x14ac:dyDescent="0.35">
      <c r="B10"/>
      <c r="C10"/>
    </row>
    <row r="11" spans="1:3" x14ac:dyDescent="0.35">
      <c r="B11"/>
      <c r="C11"/>
    </row>
    <row r="12" spans="1:3" x14ac:dyDescent="0.35">
      <c r="B12"/>
      <c r="C12"/>
    </row>
    <row r="13" spans="1:3" x14ac:dyDescent="0.35">
      <c r="B13"/>
      <c r="C13"/>
    </row>
    <row r="14" spans="1:3" x14ac:dyDescent="0.35">
      <c r="B14"/>
      <c r="C14"/>
    </row>
    <row r="15" spans="1:3" x14ac:dyDescent="0.35">
      <c r="B15"/>
      <c r="C15"/>
    </row>
    <row r="16" spans="1:3"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73" zoomScaleNormal="100" workbookViewId="0">
      <selection activeCell="F179" sqref="F179"/>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3.1796875" hidden="1" customWidth="1"/>
    <col min="15" max="15" width="11" hidden="1" customWidth="1"/>
    <col min="16" max="16" width="6.453125" hidden="1" customWidth="1"/>
    <col min="17" max="17" width="7" hidden="1" customWidth="1"/>
    <col min="18" max="18" width="12.36328125" hidden="1" customWidth="1"/>
    <col min="19" max="19" width="13.453125" hidden="1" customWidth="1"/>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47" priority="1" operator="containsText" text="POOR">
      <formula>NOT(ISERROR(SEARCH("POOR",G2)))</formula>
    </cfRule>
    <cfRule type="containsText" dxfId="46"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0C2E-8B53-4FBF-92A2-4DF13F3BBB72}">
  <dimension ref="A1"/>
  <sheetViews>
    <sheetView showGridLines="0" showRowColHeaders="0" tabSelected="1" zoomScale="70" zoomScaleNormal="70" workbookViewId="0">
      <selection activeCell="X9" sqref="X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alicia munyao</cp:lastModifiedBy>
  <cp:revision/>
  <dcterms:created xsi:type="dcterms:W3CDTF">2020-05-21T14:49:04Z</dcterms:created>
  <dcterms:modified xsi:type="dcterms:W3CDTF">2025-09-25T08:17:46Z</dcterms:modified>
  <cp:category/>
  <cp:contentStatus/>
</cp:coreProperties>
</file>