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f427f3869b5484d/Documents/Canvas Examples/"/>
    </mc:Choice>
  </mc:AlternateContent>
  <xr:revisionPtr revIDLastSave="0" documentId="8_{E1499DFF-5481-4F35-91FB-038A73A38D99}" xr6:coauthVersionLast="44" xr6:coauthVersionMax="44" xr10:uidLastSave="{00000000-0000-0000-0000-000000000000}"/>
  <bookViews>
    <workbookView xWindow="-110" yWindow="-110" windowWidth="19420" windowHeight="10420" xr2:uid="{00000000-000D-0000-FFFF-FFFF00000000}"/>
  </bookViews>
  <sheets>
    <sheet name="Customer_segmentation_data Grp 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2" i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2" i="1"/>
</calcChain>
</file>

<file path=xl/sharedStrings.xml><?xml version="1.0" encoding="utf-8"?>
<sst xmlns="http://schemas.openxmlformats.org/spreadsheetml/2006/main" count="2014" uniqueCount="22">
  <si>
    <t>id</t>
  </si>
  <si>
    <t>age</t>
  </si>
  <si>
    <t>gender</t>
  </si>
  <si>
    <t>income</t>
  </si>
  <si>
    <t>spending_score</t>
  </si>
  <si>
    <t>membership_years</t>
  </si>
  <si>
    <t>purchase_frequency</t>
  </si>
  <si>
    <t>preferred_category</t>
  </si>
  <si>
    <t>last_purchase_amount</t>
  </si>
  <si>
    <t>Female</t>
  </si>
  <si>
    <t>Groceries</t>
  </si>
  <si>
    <t>Sports</t>
  </si>
  <si>
    <t>Clothing</t>
  </si>
  <si>
    <t>Other</t>
  </si>
  <si>
    <t>Home &amp; Garden</t>
  </si>
  <si>
    <t>Electronics</t>
  </si>
  <si>
    <t>Male</t>
  </si>
  <si>
    <t>Age Check</t>
  </si>
  <si>
    <t>Standard Gender</t>
  </si>
  <si>
    <t>Preferred cat query</t>
  </si>
  <si>
    <t>Customer tier</t>
  </si>
  <si>
    <t>Marketing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</si>
</sst>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>
      <selection activeCell="M1" sqref="M1"/>
    </sheetView>
  </sheetViews>
  <sheetFormatPr defaultRowHeight="14.5" x14ac:dyDescent="0.35"/>
  <cols>
    <col min="1" max="1" width="7.453125" customWidth="1"/>
    <col min="2" max="2" width="5.7265625" customWidth="1"/>
    <col min="3" max="3" width="6.81640625" customWidth="1"/>
    <col min="4" max="4" width="7.1796875" customWidth="1"/>
    <col min="5" max="5" width="7.08984375" customWidth="1"/>
    <col min="6" max="6" width="5.90625" customWidth="1"/>
    <col min="7" max="8" width="11.81640625" customWidth="1"/>
    <col min="9" max="9" width="20" customWidth="1"/>
    <col min="10" max="10" width="11.81640625" customWidth="1"/>
    <col min="12" max="12" width="12.1796875" bestFit="1" customWidth="1"/>
    <col min="13" max="13" width="8.7265625" style="2"/>
    <col min="14" max="14" width="17.089843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17</v>
      </c>
      <c r="K1" t="s">
        <v>18</v>
      </c>
      <c r="L1" t="s">
        <v>20</v>
      </c>
      <c r="M1" s="2" t="s">
        <v>21</v>
      </c>
      <c r="N1" t="s">
        <v>19</v>
      </c>
    </row>
    <row r="2" spans="1:14" x14ac:dyDescent="0.35">
      <c r="A2">
        <v>1</v>
      </c>
      <c r="B2">
        <v>38</v>
      </c>
      <c r="C2" t="s">
        <v>9</v>
      </c>
      <c r="D2">
        <v>99342</v>
      </c>
      <c r="E2">
        <v>90</v>
      </c>
      <c r="F2">
        <v>3</v>
      </c>
      <c r="G2">
        <v>24</v>
      </c>
      <c r="H2" t="s">
        <v>10</v>
      </c>
      <c r="I2">
        <v>113.53</v>
      </c>
      <c r="J2" s="1" t="str">
        <f>IF(AND(B2&gt;=18, B2&lt;=100), "valid", "invalid")</f>
        <v>valid</v>
      </c>
      <c r="K2" t="e">
        <f ca="1">IFS(OR(C2= "Female",C2="female",C2= "F"), "Female", OR(C2="Male", C2="male",C2= "M"), "Male", TRUE, "Other")</f>
        <v>#NAME?</v>
      </c>
      <c r="L2" t="str">
        <f>IF(E2&gt;=80,"High Value","Normal")</f>
        <v>High Value</v>
      </c>
      <c r="M2" s="2" t="str">
        <f>IF(AND(B2&gt;30,G2&gt;20), "YES")</f>
        <v>YES</v>
      </c>
      <c r="N2" t="str">
        <f>VLOOKUP(A2,A1:H1001,8)</f>
        <v>Groceries</v>
      </c>
    </row>
    <row r="3" spans="1:14" x14ac:dyDescent="0.35">
      <c r="A3">
        <v>2</v>
      </c>
      <c r="B3">
        <v>21</v>
      </c>
      <c r="C3" t="s">
        <v>9</v>
      </c>
      <c r="D3">
        <v>78852</v>
      </c>
      <c r="E3">
        <v>60</v>
      </c>
      <c r="F3">
        <v>2</v>
      </c>
      <c r="G3">
        <v>42</v>
      </c>
      <c r="H3" t="s">
        <v>11</v>
      </c>
      <c r="I3">
        <v>41.93</v>
      </c>
      <c r="J3" s="1" t="str">
        <f t="shared" ref="J3:J66" si="0">IF(AND(B3&gt;=18, B3&lt;=100), "valid", "invalid")</f>
        <v>valid</v>
      </c>
      <c r="K3" t="e">
        <f t="shared" ref="K3:K66" ca="1" si="1">IFS(OR(C3= "Female",C3="female",C3= "F"), "Female", OR(C3="Male", C3="male",C3= "M"), "Male", TRUE, "Other")</f>
        <v>#NAME?</v>
      </c>
      <c r="L3" t="str">
        <f>IF(E3&gt;=80,"High Value","Normal")</f>
        <v>Normal</v>
      </c>
      <c r="M3" s="2" t="b">
        <f t="shared" ref="M3:M66" si="2">IF(AND(B3&gt;30,G3&gt;20), "YES")</f>
        <v>0</v>
      </c>
      <c r="N3" t="str">
        <f>VLOOKUP(A3,A2:H1002,8)</f>
        <v>Sports</v>
      </c>
    </row>
    <row r="4" spans="1:14" x14ac:dyDescent="0.35">
      <c r="A4">
        <v>3</v>
      </c>
      <c r="B4">
        <v>60</v>
      </c>
      <c r="C4" t="s">
        <v>9</v>
      </c>
      <c r="D4">
        <v>126573</v>
      </c>
      <c r="E4">
        <v>30</v>
      </c>
      <c r="F4">
        <v>2</v>
      </c>
      <c r="G4">
        <v>28</v>
      </c>
      <c r="H4" t="s">
        <v>12</v>
      </c>
      <c r="I4">
        <v>424.36</v>
      </c>
      <c r="J4" s="1" t="str">
        <f t="shared" si="0"/>
        <v>valid</v>
      </c>
      <c r="K4" t="e">
        <f t="shared" ca="1" si="1"/>
        <v>#NAME?</v>
      </c>
      <c r="L4" t="str">
        <f>IF(E4&gt;=80,"High Value","Normal")</f>
        <v>Normal</v>
      </c>
      <c r="M4" s="2" t="str">
        <f t="shared" si="2"/>
        <v>YES</v>
      </c>
      <c r="N4" t="str">
        <f>VLOOKUP(A4,A3:H1003,8)</f>
        <v>Clothing</v>
      </c>
    </row>
    <row r="5" spans="1:14" x14ac:dyDescent="0.35">
      <c r="A5">
        <v>4</v>
      </c>
      <c r="B5">
        <v>40</v>
      </c>
      <c r="C5" t="s">
        <v>13</v>
      </c>
      <c r="D5">
        <v>47099</v>
      </c>
      <c r="E5">
        <v>74</v>
      </c>
      <c r="F5">
        <v>9</v>
      </c>
      <c r="G5">
        <v>5</v>
      </c>
      <c r="H5" t="s">
        <v>14</v>
      </c>
      <c r="I5">
        <v>991.93</v>
      </c>
      <c r="J5" s="1" t="str">
        <f t="shared" si="0"/>
        <v>valid</v>
      </c>
      <c r="K5" t="e">
        <f t="shared" ca="1" si="1"/>
        <v>#NAME?</v>
      </c>
      <c r="L5" t="str">
        <f>IF(E5&gt;=80,"High Value","Normal")</f>
        <v>Normal</v>
      </c>
      <c r="M5" s="2" t="b">
        <f t="shared" si="2"/>
        <v>0</v>
      </c>
      <c r="N5" t="str">
        <f>VLOOKUP(A5,A4:H1004,8)</f>
        <v>Home &amp; Garden</v>
      </c>
    </row>
    <row r="6" spans="1:14" x14ac:dyDescent="0.35">
      <c r="A6">
        <v>5</v>
      </c>
      <c r="B6">
        <v>65</v>
      </c>
      <c r="C6" t="s">
        <v>9</v>
      </c>
      <c r="D6">
        <v>140621</v>
      </c>
      <c r="E6">
        <v>21</v>
      </c>
      <c r="F6">
        <v>3</v>
      </c>
      <c r="G6">
        <v>25</v>
      </c>
      <c r="H6" t="s">
        <v>15</v>
      </c>
      <c r="I6">
        <v>347.08</v>
      </c>
      <c r="J6" s="1" t="str">
        <f t="shared" si="0"/>
        <v>valid</v>
      </c>
      <c r="K6" t="e">
        <f t="shared" ca="1" si="1"/>
        <v>#NAME?</v>
      </c>
      <c r="L6" t="str">
        <f>IF(E6&gt;=80,"High Value","Normal")</f>
        <v>Normal</v>
      </c>
      <c r="M6" s="2" t="str">
        <f t="shared" si="2"/>
        <v>YES</v>
      </c>
      <c r="N6" t="str">
        <f>VLOOKUP(A6,A5:H1005,8)</f>
        <v>Electronics</v>
      </c>
    </row>
    <row r="7" spans="1:14" x14ac:dyDescent="0.35">
      <c r="A7">
        <v>6</v>
      </c>
      <c r="B7">
        <v>31</v>
      </c>
      <c r="C7" t="s">
        <v>13</v>
      </c>
      <c r="D7">
        <v>57305</v>
      </c>
      <c r="E7">
        <v>24</v>
      </c>
      <c r="F7">
        <v>3</v>
      </c>
      <c r="G7">
        <v>30</v>
      </c>
      <c r="H7" t="s">
        <v>14</v>
      </c>
      <c r="I7">
        <v>86.85</v>
      </c>
      <c r="J7" s="1" t="str">
        <f t="shared" si="0"/>
        <v>valid</v>
      </c>
      <c r="K7" t="e">
        <f t="shared" ca="1" si="1"/>
        <v>#NAME?</v>
      </c>
      <c r="L7" t="str">
        <f>IF(E7&gt;=80,"High Value","Normal")</f>
        <v>Normal</v>
      </c>
      <c r="M7" s="2" t="str">
        <f t="shared" si="2"/>
        <v>YES</v>
      </c>
      <c r="N7" t="str">
        <f>VLOOKUP(A7,A6:H1006,8)</f>
        <v>Home &amp; Garden</v>
      </c>
    </row>
    <row r="8" spans="1:14" x14ac:dyDescent="0.35">
      <c r="A8">
        <v>7</v>
      </c>
      <c r="B8">
        <v>19</v>
      </c>
      <c r="C8" t="s">
        <v>13</v>
      </c>
      <c r="D8">
        <v>54319</v>
      </c>
      <c r="E8">
        <v>68</v>
      </c>
      <c r="F8">
        <v>5</v>
      </c>
      <c r="G8">
        <v>43</v>
      </c>
      <c r="H8" t="s">
        <v>12</v>
      </c>
      <c r="I8">
        <v>191.72</v>
      </c>
      <c r="J8" s="1" t="str">
        <f t="shared" si="0"/>
        <v>valid</v>
      </c>
      <c r="K8" t="e">
        <f t="shared" ca="1" si="1"/>
        <v>#NAME?</v>
      </c>
      <c r="L8" t="str">
        <f>IF(E8&gt;=80,"High Value","Normal")</f>
        <v>Normal</v>
      </c>
      <c r="M8" s="2" t="b">
        <f t="shared" si="2"/>
        <v>0</v>
      </c>
      <c r="N8" t="str">
        <f>VLOOKUP(A8,A7:H1007,8)</f>
        <v>Clothing</v>
      </c>
    </row>
    <row r="9" spans="1:14" x14ac:dyDescent="0.35">
      <c r="A9">
        <v>8</v>
      </c>
      <c r="B9">
        <v>43</v>
      </c>
      <c r="C9" t="s">
        <v>16</v>
      </c>
      <c r="D9">
        <v>108115</v>
      </c>
      <c r="E9">
        <v>94</v>
      </c>
      <c r="F9">
        <v>9</v>
      </c>
      <c r="G9">
        <v>27</v>
      </c>
      <c r="H9" t="s">
        <v>10</v>
      </c>
      <c r="I9">
        <v>734.56</v>
      </c>
      <c r="J9" s="1" t="str">
        <f t="shared" si="0"/>
        <v>valid</v>
      </c>
      <c r="K9" t="e">
        <f t="shared" ca="1" si="1"/>
        <v>#NAME?</v>
      </c>
      <c r="L9" t="str">
        <f>IF(E9&gt;=80,"High Value","Normal")</f>
        <v>High Value</v>
      </c>
      <c r="M9" s="2" t="str">
        <f t="shared" si="2"/>
        <v>YES</v>
      </c>
      <c r="N9" t="str">
        <f>VLOOKUP(A9,A8:H1008,8)</f>
        <v>Groceries</v>
      </c>
    </row>
    <row r="10" spans="1:14" x14ac:dyDescent="0.35">
      <c r="A10">
        <v>9</v>
      </c>
      <c r="B10">
        <v>53</v>
      </c>
      <c r="C10" t="s">
        <v>16</v>
      </c>
      <c r="D10">
        <v>34424</v>
      </c>
      <c r="E10">
        <v>29</v>
      </c>
      <c r="F10">
        <v>6</v>
      </c>
      <c r="G10">
        <v>7</v>
      </c>
      <c r="H10" t="s">
        <v>11</v>
      </c>
      <c r="I10">
        <v>951.71</v>
      </c>
      <c r="J10" s="1" t="str">
        <f t="shared" si="0"/>
        <v>valid</v>
      </c>
      <c r="K10" t="e">
        <f t="shared" ca="1" si="1"/>
        <v>#NAME?</v>
      </c>
      <c r="L10" t="str">
        <f>IF(E10&gt;=80,"High Value","Normal")</f>
        <v>Normal</v>
      </c>
      <c r="M10" s="2" t="b">
        <f t="shared" si="2"/>
        <v>0</v>
      </c>
      <c r="N10" t="str">
        <f>VLOOKUP(A10,A9:H1009,8)</f>
        <v>Sports</v>
      </c>
    </row>
    <row r="11" spans="1:14" x14ac:dyDescent="0.35">
      <c r="A11">
        <v>10</v>
      </c>
      <c r="B11">
        <v>55</v>
      </c>
      <c r="C11" t="s">
        <v>9</v>
      </c>
      <c r="D11">
        <v>45839</v>
      </c>
      <c r="E11">
        <v>55</v>
      </c>
      <c r="F11">
        <v>7</v>
      </c>
      <c r="G11">
        <v>2</v>
      </c>
      <c r="H11" t="s">
        <v>15</v>
      </c>
      <c r="I11">
        <v>821.18</v>
      </c>
      <c r="J11" s="1" t="str">
        <f t="shared" si="0"/>
        <v>valid</v>
      </c>
      <c r="K11" t="e">
        <f t="shared" ca="1" si="1"/>
        <v>#NAME?</v>
      </c>
      <c r="L11" t="str">
        <f>IF(E11&gt;=80,"High Value","Normal")</f>
        <v>Normal</v>
      </c>
      <c r="M11" s="2" t="b">
        <f t="shared" si="2"/>
        <v>0</v>
      </c>
      <c r="N11" t="str">
        <f>VLOOKUP(A11,A10:H1010,8)</f>
        <v>Electronics</v>
      </c>
    </row>
    <row r="12" spans="1:14" x14ac:dyDescent="0.35">
      <c r="A12">
        <v>11</v>
      </c>
      <c r="B12">
        <v>23</v>
      </c>
      <c r="C12" t="s">
        <v>13</v>
      </c>
      <c r="D12">
        <v>69659</v>
      </c>
      <c r="E12">
        <v>16</v>
      </c>
      <c r="F12">
        <v>7</v>
      </c>
      <c r="G12">
        <v>24</v>
      </c>
      <c r="H12" t="s">
        <v>12</v>
      </c>
      <c r="I12">
        <v>434.97</v>
      </c>
      <c r="J12" s="1" t="str">
        <f t="shared" si="0"/>
        <v>valid</v>
      </c>
      <c r="K12" t="e">
        <f t="shared" ca="1" si="1"/>
        <v>#NAME?</v>
      </c>
      <c r="L12" t="str">
        <f>IF(E12&gt;=80,"High Value","Normal")</f>
        <v>Normal</v>
      </c>
      <c r="M12" s="2" t="b">
        <f t="shared" si="2"/>
        <v>0</v>
      </c>
      <c r="N12" t="str">
        <f>VLOOKUP(A12,A11:H1011,8)</f>
        <v>Clothing</v>
      </c>
    </row>
    <row r="13" spans="1:14" x14ac:dyDescent="0.35">
      <c r="A13">
        <v>12</v>
      </c>
      <c r="B13">
        <v>68</v>
      </c>
      <c r="C13" t="s">
        <v>13</v>
      </c>
      <c r="D13">
        <v>30058</v>
      </c>
      <c r="E13">
        <v>91</v>
      </c>
      <c r="F13">
        <v>1</v>
      </c>
      <c r="G13">
        <v>49</v>
      </c>
      <c r="H13" t="s">
        <v>10</v>
      </c>
      <c r="I13">
        <v>889.94</v>
      </c>
      <c r="J13" s="1" t="str">
        <f t="shared" si="0"/>
        <v>valid</v>
      </c>
      <c r="K13" t="e">
        <f t="shared" ca="1" si="1"/>
        <v>#NAME?</v>
      </c>
      <c r="L13" t="str">
        <f>IF(E13&gt;=80,"High Value","Normal")</f>
        <v>High Value</v>
      </c>
      <c r="M13" s="2" t="str">
        <f t="shared" si="2"/>
        <v>YES</v>
      </c>
      <c r="N13" t="str">
        <f>VLOOKUP(A13,A12:H1012,8)</f>
        <v>Groceries</v>
      </c>
    </row>
    <row r="14" spans="1:14" x14ac:dyDescent="0.35">
      <c r="A14">
        <v>13</v>
      </c>
      <c r="B14">
        <v>29</v>
      </c>
      <c r="C14" t="s">
        <v>9</v>
      </c>
      <c r="D14">
        <v>87461</v>
      </c>
      <c r="E14">
        <v>81</v>
      </c>
      <c r="F14">
        <v>3</v>
      </c>
      <c r="G14">
        <v>27</v>
      </c>
      <c r="H14" t="s">
        <v>14</v>
      </c>
      <c r="I14">
        <v>101.07</v>
      </c>
      <c r="J14" s="1" t="str">
        <f t="shared" si="0"/>
        <v>valid</v>
      </c>
      <c r="K14" t="e">
        <f t="shared" ca="1" si="1"/>
        <v>#NAME?</v>
      </c>
      <c r="L14" t="str">
        <f>IF(E14&gt;=80,"High Value","Normal")</f>
        <v>High Value</v>
      </c>
      <c r="M14" s="2" t="b">
        <f t="shared" si="2"/>
        <v>0</v>
      </c>
      <c r="N14" t="str">
        <f>VLOOKUP(A14,A13:H1013,8)</f>
        <v>Home &amp; Garden</v>
      </c>
    </row>
    <row r="15" spans="1:14" x14ac:dyDescent="0.35">
      <c r="A15">
        <v>14</v>
      </c>
      <c r="B15">
        <v>64</v>
      </c>
      <c r="C15" t="s">
        <v>13</v>
      </c>
      <c r="D15">
        <v>33018</v>
      </c>
      <c r="E15">
        <v>46</v>
      </c>
      <c r="F15">
        <v>4</v>
      </c>
      <c r="G15">
        <v>3</v>
      </c>
      <c r="H15" t="s">
        <v>11</v>
      </c>
      <c r="I15">
        <v>221.35</v>
      </c>
      <c r="J15" s="1" t="str">
        <f t="shared" si="0"/>
        <v>valid</v>
      </c>
      <c r="K15" t="e">
        <f t="shared" ca="1" si="1"/>
        <v>#NAME?</v>
      </c>
      <c r="L15" t="str">
        <f>IF(E15&gt;=80,"High Value","Normal")</f>
        <v>Normal</v>
      </c>
      <c r="M15" s="2" t="b">
        <f t="shared" si="2"/>
        <v>0</v>
      </c>
      <c r="N15" t="str">
        <f>VLOOKUP(A15,A14:H1014,8)</f>
        <v>Sports</v>
      </c>
    </row>
    <row r="16" spans="1:14" x14ac:dyDescent="0.35">
      <c r="A16">
        <v>15</v>
      </c>
      <c r="B16">
        <v>33</v>
      </c>
      <c r="C16" t="s">
        <v>16</v>
      </c>
      <c r="D16">
        <v>112260</v>
      </c>
      <c r="E16">
        <v>17</v>
      </c>
      <c r="F16">
        <v>5</v>
      </c>
      <c r="G16">
        <v>8</v>
      </c>
      <c r="H16" t="s">
        <v>14</v>
      </c>
      <c r="I16">
        <v>915.89</v>
      </c>
      <c r="J16" s="1" t="str">
        <f t="shared" si="0"/>
        <v>valid</v>
      </c>
      <c r="K16" t="e">
        <f t="shared" ca="1" si="1"/>
        <v>#NAME?</v>
      </c>
      <c r="L16" t="str">
        <f>IF(E16&gt;=80,"High Value","Normal")</f>
        <v>Normal</v>
      </c>
      <c r="M16" s="2" t="b">
        <f t="shared" si="2"/>
        <v>0</v>
      </c>
      <c r="N16" t="str">
        <f>VLOOKUP(A16,A15:H1015,8)</f>
        <v>Home &amp; Garden</v>
      </c>
    </row>
    <row r="17" spans="1:14" x14ac:dyDescent="0.35">
      <c r="A17">
        <v>16</v>
      </c>
      <c r="B17">
        <v>53</v>
      </c>
      <c r="C17" t="s">
        <v>16</v>
      </c>
      <c r="D17">
        <v>129284</v>
      </c>
      <c r="E17">
        <v>17</v>
      </c>
      <c r="F17">
        <v>6</v>
      </c>
      <c r="G17">
        <v>26</v>
      </c>
      <c r="H17" t="s">
        <v>12</v>
      </c>
      <c r="I17">
        <v>225.4</v>
      </c>
      <c r="J17" s="1" t="str">
        <f t="shared" si="0"/>
        <v>valid</v>
      </c>
      <c r="K17" t="e">
        <f t="shared" ca="1" si="1"/>
        <v>#NAME?</v>
      </c>
      <c r="L17" t="str">
        <f>IF(E17&gt;=80,"High Value","Normal")</f>
        <v>Normal</v>
      </c>
      <c r="M17" s="2" t="str">
        <f t="shared" si="2"/>
        <v>YES</v>
      </c>
      <c r="N17" t="str">
        <f>VLOOKUP(A17,A16:H1016,8)</f>
        <v>Clothing</v>
      </c>
    </row>
    <row r="18" spans="1:14" x14ac:dyDescent="0.35">
      <c r="A18">
        <v>17</v>
      </c>
      <c r="B18">
        <v>57</v>
      </c>
      <c r="C18" t="s">
        <v>16</v>
      </c>
      <c r="D18">
        <v>102535</v>
      </c>
      <c r="E18">
        <v>29</v>
      </c>
      <c r="F18">
        <v>5</v>
      </c>
      <c r="G18">
        <v>13</v>
      </c>
      <c r="H18" t="s">
        <v>12</v>
      </c>
      <c r="I18">
        <v>378.47</v>
      </c>
      <c r="J18" s="1" t="str">
        <f t="shared" si="0"/>
        <v>valid</v>
      </c>
      <c r="K18" t="e">
        <f t="shared" ca="1" si="1"/>
        <v>#NAME?</v>
      </c>
      <c r="L18" t="str">
        <f>IF(E18&gt;=80,"High Value","Normal")</f>
        <v>Normal</v>
      </c>
      <c r="M18" s="2" t="b">
        <f t="shared" si="2"/>
        <v>0</v>
      </c>
      <c r="N18" t="str">
        <f>VLOOKUP(A18,A17:H1017,8)</f>
        <v>Clothing</v>
      </c>
    </row>
    <row r="19" spans="1:14" x14ac:dyDescent="0.35">
      <c r="A19">
        <v>18</v>
      </c>
      <c r="B19">
        <v>22</v>
      </c>
      <c r="C19" t="s">
        <v>16</v>
      </c>
      <c r="D19">
        <v>41849</v>
      </c>
      <c r="E19">
        <v>22</v>
      </c>
      <c r="F19">
        <v>1</v>
      </c>
      <c r="G19">
        <v>31</v>
      </c>
      <c r="H19" t="s">
        <v>11</v>
      </c>
      <c r="I19">
        <v>844.08</v>
      </c>
      <c r="J19" s="1" t="str">
        <f t="shared" si="0"/>
        <v>valid</v>
      </c>
      <c r="K19" t="e">
        <f t="shared" ca="1" si="1"/>
        <v>#NAME?</v>
      </c>
      <c r="L19" t="str">
        <f>IF(E19&gt;=80,"High Value","Normal")</f>
        <v>Normal</v>
      </c>
      <c r="M19" s="2" t="b">
        <f t="shared" si="2"/>
        <v>0</v>
      </c>
      <c r="N19" t="str">
        <f>VLOOKUP(A19,A18:H1018,8)</f>
        <v>Sports</v>
      </c>
    </row>
    <row r="20" spans="1:14" x14ac:dyDescent="0.35">
      <c r="A20">
        <v>19</v>
      </c>
      <c r="B20">
        <v>37</v>
      </c>
      <c r="C20" t="s">
        <v>16</v>
      </c>
      <c r="D20">
        <v>95491</v>
      </c>
      <c r="E20">
        <v>90</v>
      </c>
      <c r="F20">
        <v>6</v>
      </c>
      <c r="G20">
        <v>21</v>
      </c>
      <c r="H20" t="s">
        <v>14</v>
      </c>
      <c r="I20">
        <v>454.83</v>
      </c>
      <c r="J20" s="1" t="str">
        <f t="shared" si="0"/>
        <v>valid</v>
      </c>
      <c r="K20" t="e">
        <f t="shared" ca="1" si="1"/>
        <v>#NAME?</v>
      </c>
      <c r="L20" t="str">
        <f>IF(E20&gt;=80,"High Value","Normal")</f>
        <v>High Value</v>
      </c>
      <c r="M20" s="2" t="str">
        <f t="shared" si="2"/>
        <v>YES</v>
      </c>
      <c r="N20" t="str">
        <f>VLOOKUP(A20,A19:H1019,8)</f>
        <v>Home &amp; Garden</v>
      </c>
    </row>
    <row r="21" spans="1:14" x14ac:dyDescent="0.35">
      <c r="A21">
        <v>20</v>
      </c>
      <c r="B21">
        <v>31</v>
      </c>
      <c r="C21" t="s">
        <v>16</v>
      </c>
      <c r="D21">
        <v>97103</v>
      </c>
      <c r="E21">
        <v>70</v>
      </c>
      <c r="F21">
        <v>3</v>
      </c>
      <c r="G21">
        <v>17</v>
      </c>
      <c r="H21" t="s">
        <v>10</v>
      </c>
      <c r="I21">
        <v>61.3</v>
      </c>
      <c r="J21" s="1" t="str">
        <f t="shared" si="0"/>
        <v>valid</v>
      </c>
      <c r="K21" t="e">
        <f t="shared" ca="1" si="1"/>
        <v>#NAME?</v>
      </c>
      <c r="L21" t="str">
        <f>IF(E21&gt;=80,"High Value","Normal")</f>
        <v>Normal</v>
      </c>
      <c r="M21" s="2" t="b">
        <f t="shared" si="2"/>
        <v>0</v>
      </c>
      <c r="N21" t="str">
        <f>VLOOKUP(A21,A20:H1020,8)</f>
        <v>Groceries</v>
      </c>
    </row>
    <row r="22" spans="1:14" x14ac:dyDescent="0.35">
      <c r="A22">
        <v>21</v>
      </c>
      <c r="B22">
        <v>19</v>
      </c>
      <c r="C22" t="s">
        <v>9</v>
      </c>
      <c r="D22">
        <v>82519</v>
      </c>
      <c r="E22">
        <v>13</v>
      </c>
      <c r="F22">
        <v>4</v>
      </c>
      <c r="G22">
        <v>4</v>
      </c>
      <c r="H22" t="s">
        <v>14</v>
      </c>
      <c r="I22">
        <v>742.39</v>
      </c>
      <c r="J22" s="1" t="str">
        <f t="shared" si="0"/>
        <v>valid</v>
      </c>
      <c r="K22" t="e">
        <f t="shared" ca="1" si="1"/>
        <v>#NAME?</v>
      </c>
      <c r="L22" t="str">
        <f>IF(E22&gt;=80,"High Value","Normal")</f>
        <v>Normal</v>
      </c>
      <c r="M22" s="2" t="b">
        <f t="shared" si="2"/>
        <v>0</v>
      </c>
      <c r="N22" t="str">
        <f>VLOOKUP(A22,A21:H1021,8)</f>
        <v>Home &amp; Garden</v>
      </c>
    </row>
    <row r="23" spans="1:14" x14ac:dyDescent="0.35">
      <c r="A23">
        <v>22</v>
      </c>
      <c r="B23">
        <v>22</v>
      </c>
      <c r="C23" t="s">
        <v>16</v>
      </c>
      <c r="D23">
        <v>49077</v>
      </c>
      <c r="E23">
        <v>74</v>
      </c>
      <c r="F23">
        <v>10</v>
      </c>
      <c r="G23">
        <v>47</v>
      </c>
      <c r="H23" t="s">
        <v>14</v>
      </c>
      <c r="I23">
        <v>799.31</v>
      </c>
      <c r="J23" s="1" t="str">
        <f t="shared" si="0"/>
        <v>valid</v>
      </c>
      <c r="K23" t="e">
        <f t="shared" ca="1" si="1"/>
        <v>#NAME?</v>
      </c>
      <c r="L23" t="str">
        <f>IF(E23&gt;=80,"High Value","Normal")</f>
        <v>Normal</v>
      </c>
      <c r="M23" s="2" t="b">
        <f t="shared" si="2"/>
        <v>0</v>
      </c>
      <c r="N23" t="str">
        <f>VLOOKUP(A23,A22:H1022,8)</f>
        <v>Home &amp; Garden</v>
      </c>
    </row>
    <row r="24" spans="1:14" x14ac:dyDescent="0.35">
      <c r="A24">
        <v>23</v>
      </c>
      <c r="B24">
        <v>36</v>
      </c>
      <c r="C24" t="s">
        <v>13</v>
      </c>
      <c r="D24">
        <v>85473</v>
      </c>
      <c r="E24">
        <v>68</v>
      </c>
      <c r="F24">
        <v>1</v>
      </c>
      <c r="G24">
        <v>16</v>
      </c>
      <c r="H24" t="s">
        <v>11</v>
      </c>
      <c r="I24">
        <v>806.55</v>
      </c>
      <c r="J24" s="1" t="str">
        <f t="shared" si="0"/>
        <v>valid</v>
      </c>
      <c r="K24" t="e">
        <f t="shared" ca="1" si="1"/>
        <v>#NAME?</v>
      </c>
      <c r="L24" t="str">
        <f>IF(E24&gt;=80,"High Value","Normal")</f>
        <v>Normal</v>
      </c>
      <c r="M24" s="2" t="b">
        <f t="shared" si="2"/>
        <v>0</v>
      </c>
      <c r="N24" t="str">
        <f>VLOOKUP(A24,A23:H1023,8)</f>
        <v>Sports</v>
      </c>
    </row>
    <row r="25" spans="1:14" x14ac:dyDescent="0.35">
      <c r="A25">
        <v>24</v>
      </c>
      <c r="B25">
        <v>41</v>
      </c>
      <c r="C25" t="s">
        <v>13</v>
      </c>
      <c r="D25">
        <v>81758</v>
      </c>
      <c r="E25">
        <v>87</v>
      </c>
      <c r="F25">
        <v>7</v>
      </c>
      <c r="G25">
        <v>9</v>
      </c>
      <c r="H25" t="s">
        <v>12</v>
      </c>
      <c r="I25">
        <v>482.2</v>
      </c>
      <c r="J25" s="1" t="str">
        <f t="shared" si="0"/>
        <v>valid</v>
      </c>
      <c r="K25" t="e">
        <f t="shared" ca="1" si="1"/>
        <v>#NAME?</v>
      </c>
      <c r="L25" t="str">
        <f>IF(E25&gt;=80,"High Value","Normal")</f>
        <v>High Value</v>
      </c>
      <c r="M25" s="2" t="b">
        <f t="shared" si="2"/>
        <v>0</v>
      </c>
      <c r="N25" t="str">
        <f>VLOOKUP(A25,A24:H1024,8)</f>
        <v>Clothing</v>
      </c>
    </row>
    <row r="26" spans="1:14" x14ac:dyDescent="0.35">
      <c r="A26">
        <v>25</v>
      </c>
      <c r="B26">
        <v>69</v>
      </c>
      <c r="C26" t="s">
        <v>9</v>
      </c>
      <c r="D26">
        <v>36140</v>
      </c>
      <c r="E26">
        <v>78</v>
      </c>
      <c r="F26">
        <v>5</v>
      </c>
      <c r="G26">
        <v>39</v>
      </c>
      <c r="H26" t="s">
        <v>11</v>
      </c>
      <c r="I26">
        <v>508.86</v>
      </c>
      <c r="J26" s="1" t="str">
        <f t="shared" si="0"/>
        <v>valid</v>
      </c>
      <c r="K26" t="e">
        <f t="shared" ca="1" si="1"/>
        <v>#NAME?</v>
      </c>
      <c r="L26" t="str">
        <f>IF(E26&gt;=80,"High Value","Normal")</f>
        <v>Normal</v>
      </c>
      <c r="M26" s="2" t="str">
        <f t="shared" si="2"/>
        <v>YES</v>
      </c>
      <c r="N26" t="str">
        <f>VLOOKUP(A26,A25:H1025,8)</f>
        <v>Sports</v>
      </c>
    </row>
    <row r="27" spans="1:14" x14ac:dyDescent="0.35">
      <c r="A27">
        <v>26</v>
      </c>
      <c r="B27">
        <v>33</v>
      </c>
      <c r="C27" t="s">
        <v>13</v>
      </c>
      <c r="D27">
        <v>141757</v>
      </c>
      <c r="E27">
        <v>60</v>
      </c>
      <c r="F27">
        <v>10</v>
      </c>
      <c r="G27">
        <v>39</v>
      </c>
      <c r="H27" t="s">
        <v>10</v>
      </c>
      <c r="I27">
        <v>83.27</v>
      </c>
      <c r="J27" s="1" t="str">
        <f t="shared" si="0"/>
        <v>valid</v>
      </c>
      <c r="K27" t="e">
        <f t="shared" ca="1" si="1"/>
        <v>#NAME?</v>
      </c>
      <c r="L27" t="str">
        <f>IF(E27&gt;=80,"High Value","Normal")</f>
        <v>Normal</v>
      </c>
      <c r="M27" s="2" t="str">
        <f t="shared" si="2"/>
        <v>YES</v>
      </c>
      <c r="N27" t="str">
        <f>VLOOKUP(A27,A26:H1026,8)</f>
        <v>Groceries</v>
      </c>
    </row>
    <row r="28" spans="1:14" x14ac:dyDescent="0.35">
      <c r="A28">
        <v>27</v>
      </c>
      <c r="B28">
        <v>54</v>
      </c>
      <c r="C28" t="s">
        <v>16</v>
      </c>
      <c r="D28">
        <v>35394</v>
      </c>
      <c r="E28">
        <v>10</v>
      </c>
      <c r="F28">
        <v>9</v>
      </c>
      <c r="G28">
        <v>4</v>
      </c>
      <c r="H28" t="s">
        <v>10</v>
      </c>
      <c r="I28">
        <v>124.29</v>
      </c>
      <c r="J28" s="1" t="str">
        <f t="shared" si="0"/>
        <v>valid</v>
      </c>
      <c r="K28" t="e">
        <f t="shared" ca="1" si="1"/>
        <v>#NAME?</v>
      </c>
      <c r="L28" t="str">
        <f>IF(E28&gt;=80,"High Value","Normal")</f>
        <v>Normal</v>
      </c>
      <c r="M28" s="2" t="b">
        <f t="shared" si="2"/>
        <v>0</v>
      </c>
      <c r="N28" t="str">
        <f>VLOOKUP(A28,A27:H1027,8)</f>
        <v>Groceries</v>
      </c>
    </row>
    <row r="29" spans="1:14" x14ac:dyDescent="0.35">
      <c r="A29">
        <v>28</v>
      </c>
      <c r="B29">
        <v>30</v>
      </c>
      <c r="C29" t="s">
        <v>9</v>
      </c>
      <c r="D29">
        <v>50680</v>
      </c>
      <c r="E29">
        <v>19</v>
      </c>
      <c r="F29">
        <v>7</v>
      </c>
      <c r="G29">
        <v>27</v>
      </c>
      <c r="H29" t="s">
        <v>11</v>
      </c>
      <c r="I29">
        <v>515.88</v>
      </c>
      <c r="J29" s="1" t="str">
        <f t="shared" si="0"/>
        <v>valid</v>
      </c>
      <c r="K29" t="e">
        <f t="shared" ca="1" si="1"/>
        <v>#NAME?</v>
      </c>
      <c r="L29" t="str">
        <f>IF(E29&gt;=80,"High Value","Normal")</f>
        <v>Normal</v>
      </c>
      <c r="M29" s="2" t="b">
        <f t="shared" si="2"/>
        <v>0</v>
      </c>
      <c r="N29" t="str">
        <f>VLOOKUP(A29,A28:H1028,8)</f>
        <v>Sports</v>
      </c>
    </row>
    <row r="30" spans="1:14" x14ac:dyDescent="0.35">
      <c r="A30">
        <v>29</v>
      </c>
      <c r="B30">
        <v>18</v>
      </c>
      <c r="C30" t="s">
        <v>9</v>
      </c>
      <c r="D30">
        <v>70721</v>
      </c>
      <c r="E30">
        <v>78</v>
      </c>
      <c r="F30">
        <v>7</v>
      </c>
      <c r="G30">
        <v>1</v>
      </c>
      <c r="H30" t="s">
        <v>14</v>
      </c>
      <c r="I30">
        <v>191.9</v>
      </c>
      <c r="J30" s="1" t="str">
        <f t="shared" si="0"/>
        <v>valid</v>
      </c>
      <c r="K30" t="e">
        <f t="shared" ca="1" si="1"/>
        <v>#NAME?</v>
      </c>
      <c r="L30" t="str">
        <f>IF(E30&gt;=80,"High Value","Normal")</f>
        <v>Normal</v>
      </c>
      <c r="M30" s="2" t="b">
        <f t="shared" si="2"/>
        <v>0</v>
      </c>
      <c r="N30" t="str">
        <f>VLOOKUP(A30,A29:H1029,8)</f>
        <v>Home &amp; Garden</v>
      </c>
    </row>
    <row r="31" spans="1:14" x14ac:dyDescent="0.35">
      <c r="A31">
        <v>30</v>
      </c>
      <c r="B31">
        <v>23</v>
      </c>
      <c r="C31" t="s">
        <v>16</v>
      </c>
      <c r="D31">
        <v>104106</v>
      </c>
      <c r="E31">
        <v>30</v>
      </c>
      <c r="F31">
        <v>4</v>
      </c>
      <c r="G31">
        <v>20</v>
      </c>
      <c r="H31" t="s">
        <v>15</v>
      </c>
      <c r="I31">
        <v>950.56</v>
      </c>
      <c r="J31" s="1" t="str">
        <f t="shared" si="0"/>
        <v>valid</v>
      </c>
      <c r="K31" t="e">
        <f t="shared" ca="1" si="1"/>
        <v>#NAME?</v>
      </c>
      <c r="L31" t="str">
        <f>IF(E31&gt;=80,"High Value","Normal")</f>
        <v>Normal</v>
      </c>
      <c r="M31" s="2" t="b">
        <f t="shared" si="2"/>
        <v>0</v>
      </c>
      <c r="N31" t="str">
        <f>VLOOKUP(A31,A30:H1030,8)</f>
        <v>Electronics</v>
      </c>
    </row>
    <row r="32" spans="1:14" x14ac:dyDescent="0.35">
      <c r="A32">
        <v>31</v>
      </c>
      <c r="B32">
        <v>36</v>
      </c>
      <c r="C32" t="s">
        <v>13</v>
      </c>
      <c r="D32">
        <v>76756</v>
      </c>
      <c r="E32">
        <v>16</v>
      </c>
      <c r="F32">
        <v>8</v>
      </c>
      <c r="G32">
        <v>27</v>
      </c>
      <c r="H32" t="s">
        <v>12</v>
      </c>
      <c r="I32">
        <v>970.06</v>
      </c>
      <c r="J32" s="1" t="str">
        <f t="shared" si="0"/>
        <v>valid</v>
      </c>
      <c r="K32" t="e">
        <f t="shared" ca="1" si="1"/>
        <v>#NAME?</v>
      </c>
      <c r="L32" t="str">
        <f>IF(E32&gt;=80,"High Value","Normal")</f>
        <v>Normal</v>
      </c>
      <c r="M32" s="2" t="str">
        <f t="shared" si="2"/>
        <v>YES</v>
      </c>
      <c r="N32" t="str">
        <f>VLOOKUP(A32,A31:H1031,8)</f>
        <v>Clothing</v>
      </c>
    </row>
    <row r="33" spans="1:14" x14ac:dyDescent="0.35">
      <c r="A33">
        <v>32</v>
      </c>
      <c r="B33">
        <v>60</v>
      </c>
      <c r="C33" t="s">
        <v>9</v>
      </c>
      <c r="D33">
        <v>45733</v>
      </c>
      <c r="E33">
        <v>69</v>
      </c>
      <c r="F33">
        <v>2</v>
      </c>
      <c r="G33">
        <v>18</v>
      </c>
      <c r="H33" t="s">
        <v>15</v>
      </c>
      <c r="I33">
        <v>197.29</v>
      </c>
      <c r="J33" s="1" t="str">
        <f t="shared" si="0"/>
        <v>valid</v>
      </c>
      <c r="K33" t="e">
        <f t="shared" ca="1" si="1"/>
        <v>#NAME?</v>
      </c>
      <c r="L33" t="str">
        <f>IF(E33&gt;=80,"High Value","Normal")</f>
        <v>Normal</v>
      </c>
      <c r="M33" s="2" t="b">
        <f t="shared" si="2"/>
        <v>0</v>
      </c>
      <c r="N33" t="str">
        <f>VLOOKUP(A33,A32:H1032,8)</f>
        <v>Electronics</v>
      </c>
    </row>
    <row r="34" spans="1:14" x14ac:dyDescent="0.35">
      <c r="A34">
        <v>33</v>
      </c>
      <c r="B34">
        <v>29</v>
      </c>
      <c r="C34" t="s">
        <v>16</v>
      </c>
      <c r="D34">
        <v>71951</v>
      </c>
      <c r="E34">
        <v>2</v>
      </c>
      <c r="F34">
        <v>6</v>
      </c>
      <c r="G34">
        <v>47</v>
      </c>
      <c r="H34" t="s">
        <v>15</v>
      </c>
      <c r="I34">
        <v>91.94</v>
      </c>
      <c r="J34" s="1" t="str">
        <f t="shared" si="0"/>
        <v>valid</v>
      </c>
      <c r="K34" t="e">
        <f t="shared" ca="1" si="1"/>
        <v>#NAME?</v>
      </c>
      <c r="L34" t="str">
        <f>IF(E34&gt;=80,"High Value","Normal")</f>
        <v>Normal</v>
      </c>
      <c r="M34" s="2" t="b">
        <f t="shared" si="2"/>
        <v>0</v>
      </c>
      <c r="N34" t="str">
        <f>VLOOKUP(A34,A33:H1033,8)</f>
        <v>Electronics</v>
      </c>
    </row>
    <row r="35" spans="1:14" x14ac:dyDescent="0.35">
      <c r="A35">
        <v>34</v>
      </c>
      <c r="B35">
        <v>44</v>
      </c>
      <c r="C35" t="s">
        <v>13</v>
      </c>
      <c r="D35">
        <v>86593</v>
      </c>
      <c r="E35">
        <v>89</v>
      </c>
      <c r="F35">
        <v>4</v>
      </c>
      <c r="G35">
        <v>37</v>
      </c>
      <c r="H35" t="s">
        <v>10</v>
      </c>
      <c r="I35">
        <v>76.95</v>
      </c>
      <c r="J35" s="1" t="str">
        <f t="shared" si="0"/>
        <v>valid</v>
      </c>
      <c r="K35" t="e">
        <f t="shared" ca="1" si="1"/>
        <v>#NAME?</v>
      </c>
      <c r="L35" t="str">
        <f>IF(E35&gt;=80,"High Value","Normal")</f>
        <v>High Value</v>
      </c>
      <c r="M35" s="2" t="str">
        <f t="shared" si="2"/>
        <v>YES</v>
      </c>
      <c r="N35" t="str">
        <f>VLOOKUP(A35,A34:H1034,8)</f>
        <v>Groceries</v>
      </c>
    </row>
    <row r="36" spans="1:14" x14ac:dyDescent="0.35">
      <c r="A36">
        <v>35</v>
      </c>
      <c r="B36">
        <v>45</v>
      </c>
      <c r="C36" t="s">
        <v>13</v>
      </c>
      <c r="D36">
        <v>43138</v>
      </c>
      <c r="E36">
        <v>54</v>
      </c>
      <c r="F36">
        <v>10</v>
      </c>
      <c r="G36">
        <v>48</v>
      </c>
      <c r="H36" t="s">
        <v>11</v>
      </c>
      <c r="I36">
        <v>639.22</v>
      </c>
      <c r="J36" s="1" t="str">
        <f t="shared" si="0"/>
        <v>valid</v>
      </c>
      <c r="K36" t="e">
        <f t="shared" ca="1" si="1"/>
        <v>#NAME?</v>
      </c>
      <c r="L36" t="str">
        <f>IF(E36&gt;=80,"High Value","Normal")</f>
        <v>Normal</v>
      </c>
      <c r="M36" s="2" t="str">
        <f t="shared" si="2"/>
        <v>YES</v>
      </c>
      <c r="N36" t="str">
        <f>VLOOKUP(A36,A35:H1035,8)</f>
        <v>Sports</v>
      </c>
    </row>
    <row r="37" spans="1:14" x14ac:dyDescent="0.35">
      <c r="A37">
        <v>36</v>
      </c>
      <c r="B37">
        <v>30</v>
      </c>
      <c r="C37" t="s">
        <v>9</v>
      </c>
      <c r="D37">
        <v>73464</v>
      </c>
      <c r="E37">
        <v>37</v>
      </c>
      <c r="F37">
        <v>1</v>
      </c>
      <c r="G37">
        <v>6</v>
      </c>
      <c r="H37" t="s">
        <v>12</v>
      </c>
      <c r="I37">
        <v>532.51</v>
      </c>
      <c r="J37" s="1" t="str">
        <f t="shared" si="0"/>
        <v>valid</v>
      </c>
      <c r="K37" t="e">
        <f t="shared" ca="1" si="1"/>
        <v>#NAME?</v>
      </c>
      <c r="L37" t="str">
        <f>IF(E37&gt;=80,"High Value","Normal")</f>
        <v>Normal</v>
      </c>
      <c r="M37" s="2" t="b">
        <f t="shared" si="2"/>
        <v>0</v>
      </c>
      <c r="N37" t="str">
        <f>VLOOKUP(A37,A36:H1036,8)</f>
        <v>Clothing</v>
      </c>
    </row>
    <row r="38" spans="1:14" x14ac:dyDescent="0.35">
      <c r="A38">
        <v>37</v>
      </c>
      <c r="B38">
        <v>47</v>
      </c>
      <c r="C38" t="s">
        <v>16</v>
      </c>
      <c r="D38">
        <v>108074</v>
      </c>
      <c r="E38">
        <v>78</v>
      </c>
      <c r="F38">
        <v>4</v>
      </c>
      <c r="G38">
        <v>38</v>
      </c>
      <c r="H38" t="s">
        <v>15</v>
      </c>
      <c r="I38">
        <v>128.19999999999999</v>
      </c>
      <c r="J38" s="1" t="str">
        <f t="shared" si="0"/>
        <v>valid</v>
      </c>
      <c r="K38" t="e">
        <f t="shared" ca="1" si="1"/>
        <v>#NAME?</v>
      </c>
      <c r="L38" t="str">
        <f>IF(E38&gt;=80,"High Value","Normal")</f>
        <v>Normal</v>
      </c>
      <c r="M38" s="2" t="str">
        <f t="shared" si="2"/>
        <v>YES</v>
      </c>
      <c r="N38" t="str">
        <f>VLOOKUP(A38,A37:H1037,8)</f>
        <v>Electronics</v>
      </c>
    </row>
    <row r="39" spans="1:14" x14ac:dyDescent="0.35">
      <c r="A39">
        <v>38</v>
      </c>
      <c r="B39">
        <v>48</v>
      </c>
      <c r="C39" t="s">
        <v>13</v>
      </c>
      <c r="D39">
        <v>81794</v>
      </c>
      <c r="E39">
        <v>89</v>
      </c>
      <c r="F39">
        <v>7</v>
      </c>
      <c r="G39">
        <v>50</v>
      </c>
      <c r="H39" t="s">
        <v>15</v>
      </c>
      <c r="I39">
        <v>967.99</v>
      </c>
      <c r="J39" s="1" t="str">
        <f t="shared" si="0"/>
        <v>valid</v>
      </c>
      <c r="K39" t="e">
        <f t="shared" ca="1" si="1"/>
        <v>#NAME?</v>
      </c>
      <c r="L39" t="str">
        <f>IF(E39&gt;=80,"High Value","Normal")</f>
        <v>High Value</v>
      </c>
      <c r="M39" s="2" t="str">
        <f t="shared" si="2"/>
        <v>YES</v>
      </c>
      <c r="N39" t="str">
        <f>VLOOKUP(A39,A38:H1038,8)</f>
        <v>Electronics</v>
      </c>
    </row>
    <row r="40" spans="1:14" x14ac:dyDescent="0.35">
      <c r="A40">
        <v>39</v>
      </c>
      <c r="B40">
        <v>31</v>
      </c>
      <c r="C40" t="s">
        <v>9</v>
      </c>
      <c r="D40">
        <v>75392</v>
      </c>
      <c r="E40">
        <v>43</v>
      </c>
      <c r="F40">
        <v>4</v>
      </c>
      <c r="G40">
        <v>29</v>
      </c>
      <c r="H40" t="s">
        <v>11</v>
      </c>
      <c r="I40">
        <v>88.44</v>
      </c>
      <c r="J40" s="1" t="str">
        <f t="shared" si="0"/>
        <v>valid</v>
      </c>
      <c r="K40" t="e">
        <f t="shared" ca="1" si="1"/>
        <v>#NAME?</v>
      </c>
      <c r="L40" t="str">
        <f>IF(E40&gt;=80,"High Value","Normal")</f>
        <v>Normal</v>
      </c>
      <c r="M40" s="2" t="str">
        <f t="shared" si="2"/>
        <v>YES</v>
      </c>
      <c r="N40" t="str">
        <f>VLOOKUP(A40,A39:H1039,8)</f>
        <v>Sports</v>
      </c>
    </row>
    <row r="41" spans="1:14" x14ac:dyDescent="0.35">
      <c r="A41">
        <v>40</v>
      </c>
      <c r="B41">
        <v>22</v>
      </c>
      <c r="C41" t="s">
        <v>16</v>
      </c>
      <c r="D41">
        <v>107057</v>
      </c>
      <c r="E41">
        <v>14</v>
      </c>
      <c r="F41">
        <v>5</v>
      </c>
      <c r="G41">
        <v>41</v>
      </c>
      <c r="H41" t="s">
        <v>14</v>
      </c>
      <c r="I41">
        <v>98.86</v>
      </c>
      <c r="J41" s="1" t="str">
        <f t="shared" si="0"/>
        <v>valid</v>
      </c>
      <c r="K41" t="e">
        <f t="shared" ca="1" si="1"/>
        <v>#NAME?</v>
      </c>
      <c r="L41" t="str">
        <f>IF(E41&gt;=80,"High Value","Normal")</f>
        <v>Normal</v>
      </c>
      <c r="M41" s="2" t="b">
        <f t="shared" si="2"/>
        <v>0</v>
      </c>
      <c r="N41" t="str">
        <f>VLOOKUP(A41,A40:H1040,8)</f>
        <v>Home &amp; Garden</v>
      </c>
    </row>
    <row r="42" spans="1:14" x14ac:dyDescent="0.35">
      <c r="A42">
        <v>41</v>
      </c>
      <c r="B42">
        <v>23</v>
      </c>
      <c r="C42" t="s">
        <v>16</v>
      </c>
      <c r="D42">
        <v>70723</v>
      </c>
      <c r="E42">
        <v>31</v>
      </c>
      <c r="F42">
        <v>1</v>
      </c>
      <c r="G42">
        <v>48</v>
      </c>
      <c r="H42" t="s">
        <v>14</v>
      </c>
      <c r="I42">
        <v>713.33</v>
      </c>
      <c r="J42" s="1" t="str">
        <f t="shared" si="0"/>
        <v>valid</v>
      </c>
      <c r="K42" t="e">
        <f t="shared" ca="1" si="1"/>
        <v>#NAME?</v>
      </c>
      <c r="L42" t="str">
        <f>IF(E42&gt;=80,"High Value","Normal")</f>
        <v>Normal</v>
      </c>
      <c r="M42" s="2" t="b">
        <f t="shared" si="2"/>
        <v>0</v>
      </c>
      <c r="N42" t="str">
        <f>VLOOKUP(A42,A41:H1041,8)</f>
        <v>Home &amp; Garden</v>
      </c>
    </row>
    <row r="43" spans="1:14" x14ac:dyDescent="0.35">
      <c r="A43">
        <v>42</v>
      </c>
      <c r="B43">
        <v>52</v>
      </c>
      <c r="C43" t="s">
        <v>16</v>
      </c>
      <c r="D43">
        <v>115529</v>
      </c>
      <c r="E43">
        <v>70</v>
      </c>
      <c r="F43">
        <v>2</v>
      </c>
      <c r="G43">
        <v>34</v>
      </c>
      <c r="H43" t="s">
        <v>12</v>
      </c>
      <c r="I43">
        <v>192.66</v>
      </c>
      <c r="J43" s="1" t="str">
        <f t="shared" si="0"/>
        <v>valid</v>
      </c>
      <c r="K43" t="e">
        <f t="shared" ca="1" si="1"/>
        <v>#NAME?</v>
      </c>
      <c r="L43" t="str">
        <f>IF(E43&gt;=80,"High Value","Normal")</f>
        <v>Normal</v>
      </c>
      <c r="M43" s="2" t="str">
        <f t="shared" si="2"/>
        <v>YES</v>
      </c>
      <c r="N43" t="str">
        <f>VLOOKUP(A43,A42:H1042,8)</f>
        <v>Clothing</v>
      </c>
    </row>
    <row r="44" spans="1:14" x14ac:dyDescent="0.35">
      <c r="A44">
        <v>43</v>
      </c>
      <c r="B44">
        <v>35</v>
      </c>
      <c r="C44" t="s">
        <v>16</v>
      </c>
      <c r="D44">
        <v>72179</v>
      </c>
      <c r="E44">
        <v>6</v>
      </c>
      <c r="F44">
        <v>6</v>
      </c>
      <c r="G44">
        <v>45</v>
      </c>
      <c r="H44" t="s">
        <v>14</v>
      </c>
      <c r="I44">
        <v>165.18</v>
      </c>
      <c r="J44" s="1" t="str">
        <f t="shared" si="0"/>
        <v>valid</v>
      </c>
      <c r="K44" t="e">
        <f t="shared" ca="1" si="1"/>
        <v>#NAME?</v>
      </c>
      <c r="L44" t="str">
        <f>IF(E44&gt;=80,"High Value","Normal")</f>
        <v>Normal</v>
      </c>
      <c r="M44" s="2" t="str">
        <f t="shared" si="2"/>
        <v>YES</v>
      </c>
      <c r="N44" t="str">
        <f>VLOOKUP(A44,A43:H1043,8)</f>
        <v>Home &amp; Garden</v>
      </c>
    </row>
    <row r="45" spans="1:14" x14ac:dyDescent="0.35">
      <c r="A45">
        <v>44</v>
      </c>
      <c r="B45">
        <v>28</v>
      </c>
      <c r="C45" t="s">
        <v>13</v>
      </c>
      <c r="D45">
        <v>62405</v>
      </c>
      <c r="E45">
        <v>79</v>
      </c>
      <c r="F45">
        <v>5</v>
      </c>
      <c r="G45">
        <v>50</v>
      </c>
      <c r="H45" t="s">
        <v>14</v>
      </c>
      <c r="I45">
        <v>956.73</v>
      </c>
      <c r="J45" s="1" t="str">
        <f t="shared" si="0"/>
        <v>valid</v>
      </c>
      <c r="K45" t="e">
        <f t="shared" ca="1" si="1"/>
        <v>#NAME?</v>
      </c>
      <c r="L45" t="str">
        <f>IF(E45&gt;=80,"High Value","Normal")</f>
        <v>Normal</v>
      </c>
      <c r="M45" s="2" t="b">
        <f t="shared" si="2"/>
        <v>0</v>
      </c>
      <c r="N45" t="str">
        <f>VLOOKUP(A45,A44:H1044,8)</f>
        <v>Home &amp; Garden</v>
      </c>
    </row>
    <row r="46" spans="1:14" x14ac:dyDescent="0.35">
      <c r="A46">
        <v>45</v>
      </c>
      <c r="B46">
        <v>50</v>
      </c>
      <c r="C46" t="s">
        <v>16</v>
      </c>
      <c r="D46">
        <v>42404</v>
      </c>
      <c r="E46">
        <v>45</v>
      </c>
      <c r="F46">
        <v>4</v>
      </c>
      <c r="G46">
        <v>31</v>
      </c>
      <c r="H46" t="s">
        <v>14</v>
      </c>
      <c r="I46">
        <v>753.6</v>
      </c>
      <c r="J46" s="1" t="str">
        <f t="shared" si="0"/>
        <v>valid</v>
      </c>
      <c r="K46" t="e">
        <f t="shared" ca="1" si="1"/>
        <v>#NAME?</v>
      </c>
      <c r="L46" t="str">
        <f>IF(E46&gt;=80,"High Value","Normal")</f>
        <v>Normal</v>
      </c>
      <c r="M46" s="2" t="str">
        <f t="shared" si="2"/>
        <v>YES</v>
      </c>
      <c r="N46" t="str">
        <f>VLOOKUP(A46,A45:H1045,8)</f>
        <v>Home &amp; Garden</v>
      </c>
    </row>
    <row r="47" spans="1:14" x14ac:dyDescent="0.35">
      <c r="A47">
        <v>46</v>
      </c>
      <c r="B47">
        <v>49</v>
      </c>
      <c r="C47" t="s">
        <v>13</v>
      </c>
      <c r="D47">
        <v>94531</v>
      </c>
      <c r="E47">
        <v>28</v>
      </c>
      <c r="F47">
        <v>5</v>
      </c>
      <c r="G47">
        <v>42</v>
      </c>
      <c r="H47" t="s">
        <v>12</v>
      </c>
      <c r="I47">
        <v>214.93</v>
      </c>
      <c r="J47" s="1" t="str">
        <f t="shared" si="0"/>
        <v>valid</v>
      </c>
      <c r="K47" t="e">
        <f t="shared" ca="1" si="1"/>
        <v>#NAME?</v>
      </c>
      <c r="L47" t="str">
        <f>IF(E47&gt;=80,"High Value","Normal")</f>
        <v>Normal</v>
      </c>
      <c r="M47" s="2" t="str">
        <f t="shared" si="2"/>
        <v>YES</v>
      </c>
      <c r="N47" t="str">
        <f>VLOOKUP(A47,A46:H1046,8)</f>
        <v>Clothing</v>
      </c>
    </row>
    <row r="48" spans="1:14" x14ac:dyDescent="0.35">
      <c r="A48">
        <v>47</v>
      </c>
      <c r="B48">
        <v>56</v>
      </c>
      <c r="C48" t="s">
        <v>16</v>
      </c>
      <c r="D48">
        <v>129005</v>
      </c>
      <c r="E48">
        <v>40</v>
      </c>
      <c r="F48">
        <v>6</v>
      </c>
      <c r="G48">
        <v>8</v>
      </c>
      <c r="H48" t="s">
        <v>15</v>
      </c>
      <c r="I48">
        <v>355.34</v>
      </c>
      <c r="J48" s="1" t="str">
        <f t="shared" si="0"/>
        <v>valid</v>
      </c>
      <c r="K48" t="e">
        <f t="shared" ca="1" si="1"/>
        <v>#NAME?</v>
      </c>
      <c r="L48" t="str">
        <f>IF(E48&gt;=80,"High Value","Normal")</f>
        <v>Normal</v>
      </c>
      <c r="M48" s="2" t="b">
        <f t="shared" si="2"/>
        <v>0</v>
      </c>
      <c r="N48" t="str">
        <f>VLOOKUP(A48,A47:H1047,8)</f>
        <v>Electronics</v>
      </c>
    </row>
    <row r="49" spans="1:14" x14ac:dyDescent="0.35">
      <c r="A49">
        <v>48</v>
      </c>
      <c r="B49">
        <v>48</v>
      </c>
      <c r="C49" t="s">
        <v>16</v>
      </c>
      <c r="D49">
        <v>76317</v>
      </c>
      <c r="E49">
        <v>94</v>
      </c>
      <c r="F49">
        <v>9</v>
      </c>
      <c r="G49">
        <v>3</v>
      </c>
      <c r="H49" t="s">
        <v>15</v>
      </c>
      <c r="I49">
        <v>189.28</v>
      </c>
      <c r="J49" s="1" t="str">
        <f t="shared" si="0"/>
        <v>valid</v>
      </c>
      <c r="K49" t="e">
        <f t="shared" ca="1" si="1"/>
        <v>#NAME?</v>
      </c>
      <c r="L49" t="str">
        <f>IF(E49&gt;=80,"High Value","Normal")</f>
        <v>High Value</v>
      </c>
      <c r="M49" s="2" t="b">
        <f t="shared" si="2"/>
        <v>0</v>
      </c>
      <c r="N49" t="str">
        <f>VLOOKUP(A49,A48:H1048,8)</f>
        <v>Electronics</v>
      </c>
    </row>
    <row r="50" spans="1:14" x14ac:dyDescent="0.35">
      <c r="A50">
        <v>49</v>
      </c>
      <c r="B50">
        <v>19</v>
      </c>
      <c r="C50" t="s">
        <v>13</v>
      </c>
      <c r="D50">
        <v>85309</v>
      </c>
      <c r="E50">
        <v>65</v>
      </c>
      <c r="F50">
        <v>5</v>
      </c>
      <c r="G50">
        <v>10</v>
      </c>
      <c r="H50" t="s">
        <v>11</v>
      </c>
      <c r="I50">
        <v>28.55</v>
      </c>
      <c r="J50" s="1" t="str">
        <f t="shared" si="0"/>
        <v>valid</v>
      </c>
      <c r="K50" t="e">
        <f t="shared" ca="1" si="1"/>
        <v>#NAME?</v>
      </c>
      <c r="L50" t="str">
        <f>IF(E50&gt;=80,"High Value","Normal")</f>
        <v>Normal</v>
      </c>
      <c r="M50" s="2" t="b">
        <f t="shared" si="2"/>
        <v>0</v>
      </c>
      <c r="N50" t="str">
        <f>VLOOKUP(A50,A49:H1049,8)</f>
        <v>Sports</v>
      </c>
    </row>
    <row r="51" spans="1:14" x14ac:dyDescent="0.35">
      <c r="A51">
        <v>50</v>
      </c>
      <c r="B51">
        <v>68</v>
      </c>
      <c r="C51" t="s">
        <v>9</v>
      </c>
      <c r="D51">
        <v>146519</v>
      </c>
      <c r="E51">
        <v>96</v>
      </c>
      <c r="F51">
        <v>2</v>
      </c>
      <c r="G51">
        <v>18</v>
      </c>
      <c r="H51" t="s">
        <v>10</v>
      </c>
      <c r="I51">
        <v>673.79</v>
      </c>
      <c r="J51" s="1" t="str">
        <f t="shared" si="0"/>
        <v>valid</v>
      </c>
      <c r="K51" t="e">
        <f t="shared" ca="1" si="1"/>
        <v>#NAME?</v>
      </c>
      <c r="L51" t="str">
        <f>IF(E51&gt;=80,"High Value","Normal")</f>
        <v>High Value</v>
      </c>
      <c r="M51" s="2" t="b">
        <f t="shared" si="2"/>
        <v>0</v>
      </c>
      <c r="N51" t="str">
        <f>VLOOKUP(A51,A50:H1050,8)</f>
        <v>Groceries</v>
      </c>
    </row>
    <row r="52" spans="1:14" x14ac:dyDescent="0.35">
      <c r="A52">
        <v>51</v>
      </c>
      <c r="B52">
        <v>61</v>
      </c>
      <c r="C52" t="s">
        <v>9</v>
      </c>
      <c r="D52">
        <v>61290</v>
      </c>
      <c r="E52">
        <v>83</v>
      </c>
      <c r="F52">
        <v>9</v>
      </c>
      <c r="G52">
        <v>35</v>
      </c>
      <c r="H52" t="s">
        <v>12</v>
      </c>
      <c r="I52">
        <v>110.32</v>
      </c>
      <c r="J52" s="1" t="str">
        <f t="shared" si="0"/>
        <v>valid</v>
      </c>
      <c r="K52" t="e">
        <f t="shared" ca="1" si="1"/>
        <v>#NAME?</v>
      </c>
      <c r="L52" t="str">
        <f>IF(E52&gt;=80,"High Value","Normal")</f>
        <v>High Value</v>
      </c>
      <c r="M52" s="2" t="str">
        <f t="shared" si="2"/>
        <v>YES</v>
      </c>
      <c r="N52" t="str">
        <f>VLOOKUP(A52,A51:H1051,8)</f>
        <v>Clothing</v>
      </c>
    </row>
    <row r="53" spans="1:14" x14ac:dyDescent="0.35">
      <c r="A53">
        <v>52</v>
      </c>
      <c r="B53">
        <v>24</v>
      </c>
      <c r="C53" t="s">
        <v>9</v>
      </c>
      <c r="D53">
        <v>96082</v>
      </c>
      <c r="E53">
        <v>83</v>
      </c>
      <c r="F53">
        <v>4</v>
      </c>
      <c r="G53">
        <v>36</v>
      </c>
      <c r="H53" t="s">
        <v>11</v>
      </c>
      <c r="I53">
        <v>589.35</v>
      </c>
      <c r="J53" s="1" t="str">
        <f t="shared" si="0"/>
        <v>valid</v>
      </c>
      <c r="K53" t="e">
        <f t="shared" ca="1" si="1"/>
        <v>#NAME?</v>
      </c>
      <c r="L53" t="str">
        <f>IF(E53&gt;=80,"High Value","Normal")</f>
        <v>High Value</v>
      </c>
      <c r="M53" s="2" t="b">
        <f t="shared" si="2"/>
        <v>0</v>
      </c>
      <c r="N53" t="str">
        <f>VLOOKUP(A53,A52:H1052,8)</f>
        <v>Sports</v>
      </c>
    </row>
    <row r="54" spans="1:14" x14ac:dyDescent="0.35">
      <c r="A54">
        <v>53</v>
      </c>
      <c r="B54">
        <v>45</v>
      </c>
      <c r="C54" t="s">
        <v>13</v>
      </c>
      <c r="D54">
        <v>134241</v>
      </c>
      <c r="E54">
        <v>73</v>
      </c>
      <c r="F54">
        <v>9</v>
      </c>
      <c r="G54">
        <v>16</v>
      </c>
      <c r="H54" t="s">
        <v>10</v>
      </c>
      <c r="I54">
        <v>893.44</v>
      </c>
      <c r="J54" s="1" t="str">
        <f t="shared" si="0"/>
        <v>valid</v>
      </c>
      <c r="K54" t="e">
        <f t="shared" ca="1" si="1"/>
        <v>#NAME?</v>
      </c>
      <c r="L54" t="str">
        <f>IF(E54&gt;=80,"High Value","Normal")</f>
        <v>Normal</v>
      </c>
      <c r="M54" s="2" t="b">
        <f t="shared" si="2"/>
        <v>0</v>
      </c>
      <c r="N54" t="str">
        <f>VLOOKUP(A54,A53:H1053,8)</f>
        <v>Groceries</v>
      </c>
    </row>
    <row r="55" spans="1:14" x14ac:dyDescent="0.35">
      <c r="A55">
        <v>54</v>
      </c>
      <c r="B55">
        <v>33</v>
      </c>
      <c r="C55" t="s">
        <v>9</v>
      </c>
      <c r="D55">
        <v>45136</v>
      </c>
      <c r="E55">
        <v>84</v>
      </c>
      <c r="F55">
        <v>9</v>
      </c>
      <c r="G55">
        <v>38</v>
      </c>
      <c r="H55" t="s">
        <v>14</v>
      </c>
      <c r="I55">
        <v>332.34</v>
      </c>
      <c r="J55" s="1" t="str">
        <f t="shared" si="0"/>
        <v>valid</v>
      </c>
      <c r="K55" t="e">
        <f t="shared" ca="1" si="1"/>
        <v>#NAME?</v>
      </c>
      <c r="L55" t="str">
        <f>IF(E55&gt;=80,"High Value","Normal")</f>
        <v>High Value</v>
      </c>
      <c r="M55" s="2" t="str">
        <f t="shared" si="2"/>
        <v>YES</v>
      </c>
      <c r="N55" t="str">
        <f>VLOOKUP(A55,A54:H1054,8)</f>
        <v>Home &amp; Garden</v>
      </c>
    </row>
    <row r="56" spans="1:14" x14ac:dyDescent="0.35">
      <c r="A56">
        <v>55</v>
      </c>
      <c r="B56">
        <v>56</v>
      </c>
      <c r="C56" t="s">
        <v>9</v>
      </c>
      <c r="D56">
        <v>85476</v>
      </c>
      <c r="E56">
        <v>55</v>
      </c>
      <c r="F56">
        <v>2</v>
      </c>
      <c r="G56">
        <v>41</v>
      </c>
      <c r="H56" t="s">
        <v>11</v>
      </c>
      <c r="I56">
        <v>774.5</v>
      </c>
      <c r="J56" s="1" t="str">
        <f t="shared" si="0"/>
        <v>valid</v>
      </c>
      <c r="K56" t="e">
        <f t="shared" ca="1" si="1"/>
        <v>#NAME?</v>
      </c>
      <c r="L56" t="str">
        <f>IF(E56&gt;=80,"High Value","Normal")</f>
        <v>Normal</v>
      </c>
      <c r="M56" s="2" t="str">
        <f t="shared" si="2"/>
        <v>YES</v>
      </c>
      <c r="N56" t="str">
        <f>VLOOKUP(A56,A55:H1055,8)</f>
        <v>Sports</v>
      </c>
    </row>
    <row r="57" spans="1:14" x14ac:dyDescent="0.35">
      <c r="A57">
        <v>56</v>
      </c>
      <c r="B57">
        <v>42</v>
      </c>
      <c r="C57" t="s">
        <v>13</v>
      </c>
      <c r="D57">
        <v>73466</v>
      </c>
      <c r="E57">
        <v>50</v>
      </c>
      <c r="F57">
        <v>4</v>
      </c>
      <c r="G57">
        <v>13</v>
      </c>
      <c r="H57" t="s">
        <v>11</v>
      </c>
      <c r="I57">
        <v>903.07</v>
      </c>
      <c r="J57" s="1" t="str">
        <f t="shared" si="0"/>
        <v>valid</v>
      </c>
      <c r="K57" t="e">
        <f t="shared" ca="1" si="1"/>
        <v>#NAME?</v>
      </c>
      <c r="L57" t="str">
        <f>IF(E57&gt;=80,"High Value","Normal")</f>
        <v>Normal</v>
      </c>
      <c r="M57" s="2" t="b">
        <f t="shared" si="2"/>
        <v>0</v>
      </c>
      <c r="N57" t="str">
        <f>VLOOKUP(A57,A56:H1056,8)</f>
        <v>Sports</v>
      </c>
    </row>
    <row r="58" spans="1:14" x14ac:dyDescent="0.35">
      <c r="A58">
        <v>57</v>
      </c>
      <c r="B58">
        <v>63</v>
      </c>
      <c r="C58" t="s">
        <v>13</v>
      </c>
      <c r="D58">
        <v>49607</v>
      </c>
      <c r="E58">
        <v>7</v>
      </c>
      <c r="F58">
        <v>9</v>
      </c>
      <c r="G58">
        <v>20</v>
      </c>
      <c r="H58" t="s">
        <v>15</v>
      </c>
      <c r="I58">
        <v>195.34</v>
      </c>
      <c r="J58" s="1" t="str">
        <f t="shared" si="0"/>
        <v>valid</v>
      </c>
      <c r="K58" t="e">
        <f t="shared" ca="1" si="1"/>
        <v>#NAME?</v>
      </c>
      <c r="L58" t="str">
        <f>IF(E58&gt;=80,"High Value","Normal")</f>
        <v>Normal</v>
      </c>
      <c r="M58" s="2" t="b">
        <f t="shared" si="2"/>
        <v>0</v>
      </c>
      <c r="N58" t="str">
        <f>VLOOKUP(A58,A57:H1057,8)</f>
        <v>Electronics</v>
      </c>
    </row>
    <row r="59" spans="1:14" x14ac:dyDescent="0.35">
      <c r="A59">
        <v>58</v>
      </c>
      <c r="B59">
        <v>49</v>
      </c>
      <c r="C59" t="s">
        <v>9</v>
      </c>
      <c r="D59">
        <v>112198</v>
      </c>
      <c r="E59">
        <v>48</v>
      </c>
      <c r="F59">
        <v>5</v>
      </c>
      <c r="G59">
        <v>24</v>
      </c>
      <c r="H59" t="s">
        <v>11</v>
      </c>
      <c r="I59">
        <v>843.87</v>
      </c>
      <c r="J59" s="1" t="str">
        <f t="shared" si="0"/>
        <v>valid</v>
      </c>
      <c r="K59" t="e">
        <f t="shared" ca="1" si="1"/>
        <v>#NAME?</v>
      </c>
      <c r="L59" t="str">
        <f>IF(E59&gt;=80,"High Value","Normal")</f>
        <v>Normal</v>
      </c>
      <c r="M59" s="2" t="str">
        <f t="shared" si="2"/>
        <v>YES</v>
      </c>
      <c r="N59" t="str">
        <f>VLOOKUP(A59,A58:H1058,8)</f>
        <v>Sports</v>
      </c>
    </row>
    <row r="60" spans="1:14" x14ac:dyDescent="0.35">
      <c r="A60">
        <v>59</v>
      </c>
      <c r="B60">
        <v>43</v>
      </c>
      <c r="C60" t="s">
        <v>9</v>
      </c>
      <c r="D60">
        <v>81595</v>
      </c>
      <c r="E60">
        <v>12</v>
      </c>
      <c r="F60">
        <v>7</v>
      </c>
      <c r="G60">
        <v>1</v>
      </c>
      <c r="H60" t="s">
        <v>15</v>
      </c>
      <c r="I60">
        <v>806.26</v>
      </c>
      <c r="J60" s="1" t="str">
        <f t="shared" si="0"/>
        <v>valid</v>
      </c>
      <c r="K60" t="e">
        <f t="shared" ca="1" si="1"/>
        <v>#NAME?</v>
      </c>
      <c r="L60" t="str">
        <f>IF(E60&gt;=80,"High Value","Normal")</f>
        <v>Normal</v>
      </c>
      <c r="M60" s="2" t="b">
        <f t="shared" si="2"/>
        <v>0</v>
      </c>
      <c r="N60" t="str">
        <f>VLOOKUP(A60,A59:H1059,8)</f>
        <v>Electronics</v>
      </c>
    </row>
    <row r="61" spans="1:14" x14ac:dyDescent="0.35">
      <c r="A61">
        <v>60</v>
      </c>
      <c r="B61">
        <v>21</v>
      </c>
      <c r="C61" t="s">
        <v>9</v>
      </c>
      <c r="D61">
        <v>139387</v>
      </c>
      <c r="E61">
        <v>1</v>
      </c>
      <c r="F61">
        <v>5</v>
      </c>
      <c r="G61">
        <v>7</v>
      </c>
      <c r="H61" t="s">
        <v>12</v>
      </c>
      <c r="I61">
        <v>399.58</v>
      </c>
      <c r="J61" s="1" t="str">
        <f t="shared" si="0"/>
        <v>valid</v>
      </c>
      <c r="K61" t="e">
        <f t="shared" ca="1" si="1"/>
        <v>#NAME?</v>
      </c>
      <c r="L61" t="str">
        <f>IF(E61&gt;=80,"High Value","Normal")</f>
        <v>Normal</v>
      </c>
      <c r="M61" s="2" t="b">
        <f t="shared" si="2"/>
        <v>0</v>
      </c>
      <c r="N61" t="str">
        <f>VLOOKUP(A61,A60:H1060,8)</f>
        <v>Clothing</v>
      </c>
    </row>
    <row r="62" spans="1:14" x14ac:dyDescent="0.35">
      <c r="A62">
        <v>61</v>
      </c>
      <c r="B62">
        <v>23</v>
      </c>
      <c r="C62" t="s">
        <v>16</v>
      </c>
      <c r="D62">
        <v>69133</v>
      </c>
      <c r="E62">
        <v>14</v>
      </c>
      <c r="F62">
        <v>6</v>
      </c>
      <c r="G62">
        <v>7</v>
      </c>
      <c r="H62" t="s">
        <v>10</v>
      </c>
      <c r="I62">
        <v>224.86</v>
      </c>
      <c r="J62" s="1" t="str">
        <f t="shared" si="0"/>
        <v>valid</v>
      </c>
      <c r="K62" t="e">
        <f t="shared" ca="1" si="1"/>
        <v>#NAME?</v>
      </c>
      <c r="L62" t="str">
        <f>IF(E62&gt;=80,"High Value","Normal")</f>
        <v>Normal</v>
      </c>
      <c r="M62" s="2" t="b">
        <f t="shared" si="2"/>
        <v>0</v>
      </c>
      <c r="N62" t="str">
        <f>VLOOKUP(A62,A61:H1061,8)</f>
        <v>Groceries</v>
      </c>
    </row>
    <row r="63" spans="1:14" x14ac:dyDescent="0.35">
      <c r="A63">
        <v>62</v>
      </c>
      <c r="B63">
        <v>30</v>
      </c>
      <c r="C63" t="s">
        <v>13</v>
      </c>
      <c r="D63">
        <v>89149</v>
      </c>
      <c r="E63">
        <v>87</v>
      </c>
      <c r="F63">
        <v>10</v>
      </c>
      <c r="G63">
        <v>36</v>
      </c>
      <c r="H63" t="s">
        <v>12</v>
      </c>
      <c r="I63">
        <v>174.41</v>
      </c>
      <c r="J63" s="1" t="str">
        <f t="shared" si="0"/>
        <v>valid</v>
      </c>
      <c r="K63" t="e">
        <f t="shared" ca="1" si="1"/>
        <v>#NAME?</v>
      </c>
      <c r="L63" t="str">
        <f>IF(E63&gt;=80,"High Value","Normal")</f>
        <v>High Value</v>
      </c>
      <c r="M63" s="2" t="b">
        <f t="shared" si="2"/>
        <v>0</v>
      </c>
      <c r="N63" t="str">
        <f>VLOOKUP(A63,A62:H1062,8)</f>
        <v>Clothing</v>
      </c>
    </row>
    <row r="64" spans="1:14" x14ac:dyDescent="0.35">
      <c r="A64">
        <v>63</v>
      </c>
      <c r="B64">
        <v>49</v>
      </c>
      <c r="C64" t="s">
        <v>9</v>
      </c>
      <c r="D64">
        <v>79992</v>
      </c>
      <c r="E64">
        <v>49</v>
      </c>
      <c r="F64">
        <v>8</v>
      </c>
      <c r="G64">
        <v>6</v>
      </c>
      <c r="H64" t="s">
        <v>11</v>
      </c>
      <c r="I64">
        <v>636.65</v>
      </c>
      <c r="J64" s="1" t="str">
        <f t="shared" si="0"/>
        <v>valid</v>
      </c>
      <c r="K64" t="e">
        <f t="shared" ca="1" si="1"/>
        <v>#NAME?</v>
      </c>
      <c r="L64" t="str">
        <f>IF(E64&gt;=80,"High Value","Normal")</f>
        <v>Normal</v>
      </c>
      <c r="M64" s="2" t="b">
        <f t="shared" si="2"/>
        <v>0</v>
      </c>
      <c r="N64" t="str">
        <f>VLOOKUP(A64,A63:H1063,8)</f>
        <v>Sports</v>
      </c>
    </row>
    <row r="65" spans="1:14" x14ac:dyDescent="0.35">
      <c r="A65">
        <v>64</v>
      </c>
      <c r="B65">
        <v>50</v>
      </c>
      <c r="C65" t="s">
        <v>9</v>
      </c>
      <c r="D65">
        <v>85111</v>
      </c>
      <c r="E65">
        <v>31</v>
      </c>
      <c r="F65">
        <v>1</v>
      </c>
      <c r="G65">
        <v>19</v>
      </c>
      <c r="H65" t="s">
        <v>15</v>
      </c>
      <c r="I65">
        <v>319.05</v>
      </c>
      <c r="J65" s="1" t="str">
        <f t="shared" si="0"/>
        <v>valid</v>
      </c>
      <c r="K65" t="e">
        <f t="shared" ca="1" si="1"/>
        <v>#NAME?</v>
      </c>
      <c r="L65" t="str">
        <f>IF(E65&gt;=80,"High Value","Normal")</f>
        <v>Normal</v>
      </c>
      <c r="M65" s="2" t="b">
        <f t="shared" si="2"/>
        <v>0</v>
      </c>
      <c r="N65" t="str">
        <f>VLOOKUP(A65,A64:H1064,8)</f>
        <v>Electronics</v>
      </c>
    </row>
    <row r="66" spans="1:14" x14ac:dyDescent="0.35">
      <c r="A66">
        <v>65</v>
      </c>
      <c r="B66">
        <v>27</v>
      </c>
      <c r="C66" t="s">
        <v>13</v>
      </c>
      <c r="D66">
        <v>90557</v>
      </c>
      <c r="E66">
        <v>36</v>
      </c>
      <c r="F66">
        <v>2</v>
      </c>
      <c r="G66">
        <v>2</v>
      </c>
      <c r="H66" t="s">
        <v>11</v>
      </c>
      <c r="I66">
        <v>494.55</v>
      </c>
      <c r="J66" s="1" t="str">
        <f t="shared" si="0"/>
        <v>valid</v>
      </c>
      <c r="K66" t="e">
        <f t="shared" ca="1" si="1"/>
        <v>#NAME?</v>
      </c>
      <c r="L66" t="str">
        <f>IF(E66&gt;=80,"High Value","Normal")</f>
        <v>Normal</v>
      </c>
      <c r="M66" s="2" t="b">
        <f t="shared" si="2"/>
        <v>0</v>
      </c>
      <c r="N66" t="str">
        <f>VLOOKUP(A66,A65:H1065,8)</f>
        <v>Sports</v>
      </c>
    </row>
    <row r="67" spans="1:14" x14ac:dyDescent="0.35">
      <c r="A67">
        <v>66</v>
      </c>
      <c r="B67">
        <v>32</v>
      </c>
      <c r="C67" t="s">
        <v>16</v>
      </c>
      <c r="D67">
        <v>100270</v>
      </c>
      <c r="E67">
        <v>69</v>
      </c>
      <c r="F67">
        <v>3</v>
      </c>
      <c r="G67">
        <v>29</v>
      </c>
      <c r="H67" t="s">
        <v>14</v>
      </c>
      <c r="I67">
        <v>686.05</v>
      </c>
      <c r="J67" s="1" t="str">
        <f t="shared" ref="J67:J130" si="3">IF(AND(B67&gt;=18, B67&lt;=100), "valid", "invalid")</f>
        <v>valid</v>
      </c>
      <c r="K67" t="e">
        <f t="shared" ref="K67:K130" ca="1" si="4">IFS(OR(C67= "Female",C67="female",C67= "F"), "Female", OR(C67="Male", C67="male",C67= "M"), "Male", TRUE, "Other")</f>
        <v>#NAME?</v>
      </c>
      <c r="L67" t="str">
        <f>IF(E67&gt;=80,"High Value","Normal")</f>
        <v>Normal</v>
      </c>
      <c r="M67" s="2" t="str">
        <f t="shared" ref="M67:M130" si="5">IF(AND(B67&gt;30,G67&gt;20), "YES")</f>
        <v>YES</v>
      </c>
      <c r="N67" t="str">
        <f>VLOOKUP(A67,A66:H1066,8)</f>
        <v>Home &amp; Garden</v>
      </c>
    </row>
    <row r="68" spans="1:14" x14ac:dyDescent="0.35">
      <c r="A68">
        <v>67</v>
      </c>
      <c r="B68">
        <v>36</v>
      </c>
      <c r="C68" t="s">
        <v>9</v>
      </c>
      <c r="D68">
        <v>127346</v>
      </c>
      <c r="E68">
        <v>75</v>
      </c>
      <c r="F68">
        <v>5</v>
      </c>
      <c r="G68">
        <v>7</v>
      </c>
      <c r="H68" t="s">
        <v>15</v>
      </c>
      <c r="I68">
        <v>335.98</v>
      </c>
      <c r="J68" s="1" t="str">
        <f t="shared" si="3"/>
        <v>valid</v>
      </c>
      <c r="K68" t="e">
        <f t="shared" ca="1" si="4"/>
        <v>#NAME?</v>
      </c>
      <c r="L68" t="str">
        <f>IF(E68&gt;=80,"High Value","Normal")</f>
        <v>Normal</v>
      </c>
      <c r="M68" s="2" t="b">
        <f t="shared" si="5"/>
        <v>0</v>
      </c>
      <c r="N68" t="str">
        <f>VLOOKUP(A68,A67:H1067,8)</f>
        <v>Electronics</v>
      </c>
    </row>
    <row r="69" spans="1:14" x14ac:dyDescent="0.35">
      <c r="A69">
        <v>68</v>
      </c>
      <c r="B69">
        <v>43</v>
      </c>
      <c r="C69" t="s">
        <v>9</v>
      </c>
      <c r="D69">
        <v>87807</v>
      </c>
      <c r="E69">
        <v>52</v>
      </c>
      <c r="F69">
        <v>9</v>
      </c>
      <c r="G69">
        <v>41</v>
      </c>
      <c r="H69" t="s">
        <v>12</v>
      </c>
      <c r="I69">
        <v>95.08</v>
      </c>
      <c r="J69" s="1" t="str">
        <f t="shared" si="3"/>
        <v>valid</v>
      </c>
      <c r="K69" t="e">
        <f t="shared" ca="1" si="4"/>
        <v>#NAME?</v>
      </c>
      <c r="L69" t="str">
        <f>IF(E69&gt;=80,"High Value","Normal")</f>
        <v>Normal</v>
      </c>
      <c r="M69" s="2" t="str">
        <f t="shared" si="5"/>
        <v>YES</v>
      </c>
      <c r="N69" t="str">
        <f>VLOOKUP(A69,A68:H1068,8)</f>
        <v>Clothing</v>
      </c>
    </row>
    <row r="70" spans="1:14" x14ac:dyDescent="0.35">
      <c r="A70">
        <v>69</v>
      </c>
      <c r="B70">
        <v>32</v>
      </c>
      <c r="C70" t="s">
        <v>16</v>
      </c>
      <c r="D70">
        <v>135861</v>
      </c>
      <c r="E70">
        <v>88</v>
      </c>
      <c r="F70">
        <v>5</v>
      </c>
      <c r="G70">
        <v>16</v>
      </c>
      <c r="H70" t="s">
        <v>15</v>
      </c>
      <c r="I70">
        <v>103.33</v>
      </c>
      <c r="J70" s="1" t="str">
        <f t="shared" si="3"/>
        <v>valid</v>
      </c>
      <c r="K70" t="e">
        <f t="shared" ca="1" si="4"/>
        <v>#NAME?</v>
      </c>
      <c r="L70" t="str">
        <f>IF(E70&gt;=80,"High Value","Normal")</f>
        <v>High Value</v>
      </c>
      <c r="M70" s="2" t="b">
        <f t="shared" si="5"/>
        <v>0</v>
      </c>
      <c r="N70" t="str">
        <f>VLOOKUP(A70,A69:H1069,8)</f>
        <v>Electronics</v>
      </c>
    </row>
    <row r="71" spans="1:14" x14ac:dyDescent="0.35">
      <c r="A71">
        <v>70</v>
      </c>
      <c r="B71">
        <v>49</v>
      </c>
      <c r="C71" t="s">
        <v>13</v>
      </c>
      <c r="D71">
        <v>40936</v>
      </c>
      <c r="E71">
        <v>32</v>
      </c>
      <c r="F71">
        <v>9</v>
      </c>
      <c r="G71">
        <v>49</v>
      </c>
      <c r="H71" t="s">
        <v>11</v>
      </c>
      <c r="I71">
        <v>495.62</v>
      </c>
      <c r="J71" s="1" t="str">
        <f t="shared" si="3"/>
        <v>valid</v>
      </c>
      <c r="K71" t="e">
        <f t="shared" ca="1" si="4"/>
        <v>#NAME?</v>
      </c>
      <c r="L71" t="str">
        <f>IF(E71&gt;=80,"High Value","Normal")</f>
        <v>Normal</v>
      </c>
      <c r="M71" s="2" t="str">
        <f t="shared" si="5"/>
        <v>YES</v>
      </c>
      <c r="N71" t="str">
        <f>VLOOKUP(A71,A70:H1070,8)</f>
        <v>Sports</v>
      </c>
    </row>
    <row r="72" spans="1:14" x14ac:dyDescent="0.35">
      <c r="A72">
        <v>71</v>
      </c>
      <c r="B72">
        <v>23</v>
      </c>
      <c r="C72" t="s">
        <v>9</v>
      </c>
      <c r="D72">
        <v>66376</v>
      </c>
      <c r="E72">
        <v>60</v>
      </c>
      <c r="F72">
        <v>1</v>
      </c>
      <c r="G72">
        <v>18</v>
      </c>
      <c r="H72" t="s">
        <v>15</v>
      </c>
      <c r="I72">
        <v>77.73</v>
      </c>
      <c r="J72" s="1" t="str">
        <f t="shared" si="3"/>
        <v>valid</v>
      </c>
      <c r="K72" t="e">
        <f t="shared" ca="1" si="4"/>
        <v>#NAME?</v>
      </c>
      <c r="L72" t="str">
        <f>IF(E72&gt;=80,"High Value","Normal")</f>
        <v>Normal</v>
      </c>
      <c r="M72" s="2" t="b">
        <f t="shared" si="5"/>
        <v>0</v>
      </c>
      <c r="N72" t="str">
        <f>VLOOKUP(A72,A71:H1071,8)</f>
        <v>Electronics</v>
      </c>
    </row>
    <row r="73" spans="1:14" x14ac:dyDescent="0.35">
      <c r="A73">
        <v>72</v>
      </c>
      <c r="B73">
        <v>58</v>
      </c>
      <c r="C73" t="s">
        <v>13</v>
      </c>
      <c r="D73">
        <v>56120</v>
      </c>
      <c r="E73">
        <v>30</v>
      </c>
      <c r="F73">
        <v>3</v>
      </c>
      <c r="G73">
        <v>50</v>
      </c>
      <c r="H73" t="s">
        <v>10</v>
      </c>
      <c r="I73">
        <v>880.23</v>
      </c>
      <c r="J73" s="1" t="str">
        <f t="shared" si="3"/>
        <v>valid</v>
      </c>
      <c r="K73" t="e">
        <f t="shared" ca="1" si="4"/>
        <v>#NAME?</v>
      </c>
      <c r="L73" t="str">
        <f>IF(E73&gt;=80,"High Value","Normal")</f>
        <v>Normal</v>
      </c>
      <c r="M73" s="2" t="str">
        <f t="shared" si="5"/>
        <v>YES</v>
      </c>
      <c r="N73" t="str">
        <f>VLOOKUP(A73,A72:H1072,8)</f>
        <v>Groceries</v>
      </c>
    </row>
    <row r="74" spans="1:14" x14ac:dyDescent="0.35">
      <c r="A74">
        <v>73</v>
      </c>
      <c r="B74">
        <v>31</v>
      </c>
      <c r="C74" t="s">
        <v>9</v>
      </c>
      <c r="D74">
        <v>112452</v>
      </c>
      <c r="E74">
        <v>21</v>
      </c>
      <c r="F74">
        <v>1</v>
      </c>
      <c r="G74">
        <v>5</v>
      </c>
      <c r="H74" t="s">
        <v>10</v>
      </c>
      <c r="I74">
        <v>552.21</v>
      </c>
      <c r="J74" s="1" t="str">
        <f t="shared" si="3"/>
        <v>valid</v>
      </c>
      <c r="K74" t="e">
        <f t="shared" ca="1" si="4"/>
        <v>#NAME?</v>
      </c>
      <c r="L74" t="str">
        <f>IF(E74&gt;=80,"High Value","Normal")</f>
        <v>Normal</v>
      </c>
      <c r="M74" s="2" t="b">
        <f t="shared" si="5"/>
        <v>0</v>
      </c>
      <c r="N74" t="str">
        <f>VLOOKUP(A74,A73:H1073,8)</f>
        <v>Groceries</v>
      </c>
    </row>
    <row r="75" spans="1:14" x14ac:dyDescent="0.35">
      <c r="A75">
        <v>74</v>
      </c>
      <c r="B75">
        <v>38</v>
      </c>
      <c r="C75" t="s">
        <v>9</v>
      </c>
      <c r="D75">
        <v>102944</v>
      </c>
      <c r="E75">
        <v>63</v>
      </c>
      <c r="F75">
        <v>8</v>
      </c>
      <c r="G75">
        <v>9</v>
      </c>
      <c r="H75" t="s">
        <v>14</v>
      </c>
      <c r="I75">
        <v>92.69</v>
      </c>
      <c r="J75" s="1" t="str">
        <f t="shared" si="3"/>
        <v>valid</v>
      </c>
      <c r="K75" t="e">
        <f t="shared" ca="1" si="4"/>
        <v>#NAME?</v>
      </c>
      <c r="L75" t="str">
        <f>IF(E75&gt;=80,"High Value","Normal")</f>
        <v>Normal</v>
      </c>
      <c r="M75" s="2" t="b">
        <f t="shared" si="5"/>
        <v>0</v>
      </c>
      <c r="N75" t="str">
        <f>VLOOKUP(A75,A74:H1074,8)</f>
        <v>Home &amp; Garden</v>
      </c>
    </row>
    <row r="76" spans="1:14" x14ac:dyDescent="0.35">
      <c r="A76">
        <v>75</v>
      </c>
      <c r="B76">
        <v>58</v>
      </c>
      <c r="C76" t="s">
        <v>13</v>
      </c>
      <c r="D76">
        <v>143037</v>
      </c>
      <c r="E76">
        <v>56</v>
      </c>
      <c r="F76">
        <v>8</v>
      </c>
      <c r="G76">
        <v>42</v>
      </c>
      <c r="H76" t="s">
        <v>10</v>
      </c>
      <c r="I76">
        <v>57.57</v>
      </c>
      <c r="J76" s="1" t="str">
        <f t="shared" si="3"/>
        <v>valid</v>
      </c>
      <c r="K76" t="e">
        <f t="shared" ca="1" si="4"/>
        <v>#NAME?</v>
      </c>
      <c r="L76" t="str">
        <f>IF(E76&gt;=80,"High Value","Normal")</f>
        <v>Normal</v>
      </c>
      <c r="M76" s="2" t="str">
        <f t="shared" si="5"/>
        <v>YES</v>
      </c>
      <c r="N76" t="str">
        <f>VLOOKUP(A76,A75:H1075,8)</f>
        <v>Groceries</v>
      </c>
    </row>
    <row r="77" spans="1:14" x14ac:dyDescent="0.35">
      <c r="A77">
        <v>76</v>
      </c>
      <c r="B77">
        <v>60</v>
      </c>
      <c r="C77" t="s">
        <v>9</v>
      </c>
      <c r="D77">
        <v>131101</v>
      </c>
      <c r="E77">
        <v>68</v>
      </c>
      <c r="F77">
        <v>8</v>
      </c>
      <c r="G77">
        <v>28</v>
      </c>
      <c r="H77" t="s">
        <v>14</v>
      </c>
      <c r="I77">
        <v>522.95000000000005</v>
      </c>
      <c r="J77" s="1" t="str">
        <f t="shared" si="3"/>
        <v>valid</v>
      </c>
      <c r="K77" t="e">
        <f t="shared" ca="1" si="4"/>
        <v>#NAME?</v>
      </c>
      <c r="L77" t="str">
        <f>IF(E77&gt;=80,"High Value","Normal")</f>
        <v>Normal</v>
      </c>
      <c r="M77" s="2" t="str">
        <f t="shared" si="5"/>
        <v>YES</v>
      </c>
      <c r="N77" t="str">
        <f>VLOOKUP(A77,A76:H1076,8)</f>
        <v>Home &amp; Garden</v>
      </c>
    </row>
    <row r="78" spans="1:14" x14ac:dyDescent="0.35">
      <c r="A78">
        <v>77</v>
      </c>
      <c r="B78">
        <v>49</v>
      </c>
      <c r="C78" t="s">
        <v>16</v>
      </c>
      <c r="D78">
        <v>30708</v>
      </c>
      <c r="E78">
        <v>4</v>
      </c>
      <c r="F78">
        <v>1</v>
      </c>
      <c r="G78">
        <v>36</v>
      </c>
      <c r="H78" t="s">
        <v>10</v>
      </c>
      <c r="I78">
        <v>990</v>
      </c>
      <c r="J78" s="1" t="str">
        <f t="shared" si="3"/>
        <v>valid</v>
      </c>
      <c r="K78" t="e">
        <f t="shared" ca="1" si="4"/>
        <v>#NAME?</v>
      </c>
      <c r="L78" t="str">
        <f>IF(E78&gt;=80,"High Value","Normal")</f>
        <v>Normal</v>
      </c>
      <c r="M78" s="2" t="str">
        <f t="shared" si="5"/>
        <v>YES</v>
      </c>
      <c r="N78" t="str">
        <f>VLOOKUP(A78,A77:H1077,8)</f>
        <v>Groceries</v>
      </c>
    </row>
    <row r="79" spans="1:14" x14ac:dyDescent="0.35">
      <c r="A79">
        <v>78</v>
      </c>
      <c r="B79">
        <v>32</v>
      </c>
      <c r="C79" t="s">
        <v>13</v>
      </c>
      <c r="D79">
        <v>44048</v>
      </c>
      <c r="E79">
        <v>20</v>
      </c>
      <c r="F79">
        <v>7</v>
      </c>
      <c r="G79">
        <v>10</v>
      </c>
      <c r="H79" t="s">
        <v>12</v>
      </c>
      <c r="I79">
        <v>41.55</v>
      </c>
      <c r="J79" s="1" t="str">
        <f t="shared" si="3"/>
        <v>valid</v>
      </c>
      <c r="K79" t="e">
        <f t="shared" ca="1" si="4"/>
        <v>#NAME?</v>
      </c>
      <c r="L79" t="str">
        <f>IF(E79&gt;=80,"High Value","Normal")</f>
        <v>Normal</v>
      </c>
      <c r="M79" s="2" t="b">
        <f t="shared" si="5"/>
        <v>0</v>
      </c>
      <c r="N79" t="str">
        <f>VLOOKUP(A79,A78:H1078,8)</f>
        <v>Clothing</v>
      </c>
    </row>
    <row r="80" spans="1:14" x14ac:dyDescent="0.35">
      <c r="A80">
        <v>79</v>
      </c>
      <c r="B80">
        <v>30</v>
      </c>
      <c r="C80" t="s">
        <v>13</v>
      </c>
      <c r="D80">
        <v>95501</v>
      </c>
      <c r="E80">
        <v>27</v>
      </c>
      <c r="F80">
        <v>3</v>
      </c>
      <c r="G80">
        <v>14</v>
      </c>
      <c r="H80" t="s">
        <v>10</v>
      </c>
      <c r="I80">
        <v>476.25</v>
      </c>
      <c r="J80" s="1" t="str">
        <f t="shared" si="3"/>
        <v>valid</v>
      </c>
      <c r="K80" t="e">
        <f t="shared" ca="1" si="4"/>
        <v>#NAME?</v>
      </c>
      <c r="L80" t="str">
        <f>IF(E80&gt;=80,"High Value","Normal")</f>
        <v>Normal</v>
      </c>
      <c r="M80" s="2" t="b">
        <f t="shared" si="5"/>
        <v>0</v>
      </c>
      <c r="N80" t="str">
        <f>VLOOKUP(A80,A79:H1079,8)</f>
        <v>Groceries</v>
      </c>
    </row>
    <row r="81" spans="1:14" x14ac:dyDescent="0.35">
      <c r="A81">
        <v>80</v>
      </c>
      <c r="B81">
        <v>68</v>
      </c>
      <c r="C81" t="s">
        <v>13</v>
      </c>
      <c r="D81">
        <v>45092</v>
      </c>
      <c r="E81">
        <v>54</v>
      </c>
      <c r="F81">
        <v>4</v>
      </c>
      <c r="G81">
        <v>40</v>
      </c>
      <c r="H81" t="s">
        <v>15</v>
      </c>
      <c r="I81">
        <v>738.6</v>
      </c>
      <c r="J81" s="1" t="str">
        <f t="shared" si="3"/>
        <v>valid</v>
      </c>
      <c r="K81" t="e">
        <f t="shared" ca="1" si="4"/>
        <v>#NAME?</v>
      </c>
      <c r="L81" t="str">
        <f>IF(E81&gt;=80,"High Value","Normal")</f>
        <v>Normal</v>
      </c>
      <c r="M81" s="2" t="str">
        <f t="shared" si="5"/>
        <v>YES</v>
      </c>
      <c r="N81" t="str">
        <f>VLOOKUP(A81,A80:H1080,8)</f>
        <v>Electronics</v>
      </c>
    </row>
    <row r="82" spans="1:14" x14ac:dyDescent="0.35">
      <c r="A82">
        <v>81</v>
      </c>
      <c r="B82">
        <v>65</v>
      </c>
      <c r="C82" t="s">
        <v>13</v>
      </c>
      <c r="D82">
        <v>117157</v>
      </c>
      <c r="E82">
        <v>90</v>
      </c>
      <c r="F82">
        <v>9</v>
      </c>
      <c r="G82">
        <v>39</v>
      </c>
      <c r="H82" t="s">
        <v>15</v>
      </c>
      <c r="I82">
        <v>812.36</v>
      </c>
      <c r="J82" s="1" t="str">
        <f t="shared" si="3"/>
        <v>valid</v>
      </c>
      <c r="K82" t="e">
        <f t="shared" ca="1" si="4"/>
        <v>#NAME?</v>
      </c>
      <c r="L82" t="str">
        <f>IF(E82&gt;=80,"High Value","Normal")</f>
        <v>High Value</v>
      </c>
      <c r="M82" s="2" t="str">
        <f t="shared" si="5"/>
        <v>YES</v>
      </c>
      <c r="N82" t="str">
        <f>VLOOKUP(A82,A81:H1081,8)</f>
        <v>Electronics</v>
      </c>
    </row>
    <row r="83" spans="1:14" x14ac:dyDescent="0.35">
      <c r="A83">
        <v>82</v>
      </c>
      <c r="B83">
        <v>36</v>
      </c>
      <c r="C83" t="s">
        <v>9</v>
      </c>
      <c r="D83">
        <v>148542</v>
      </c>
      <c r="E83">
        <v>60</v>
      </c>
      <c r="F83">
        <v>1</v>
      </c>
      <c r="G83">
        <v>17</v>
      </c>
      <c r="H83" t="s">
        <v>10</v>
      </c>
      <c r="I83">
        <v>15.66</v>
      </c>
      <c r="J83" s="1" t="str">
        <f t="shared" si="3"/>
        <v>valid</v>
      </c>
      <c r="K83" t="e">
        <f t="shared" ca="1" si="4"/>
        <v>#NAME?</v>
      </c>
      <c r="L83" t="str">
        <f>IF(E83&gt;=80,"High Value","Normal")</f>
        <v>Normal</v>
      </c>
      <c r="M83" s="2" t="b">
        <f t="shared" si="5"/>
        <v>0</v>
      </c>
      <c r="N83" t="str">
        <f>VLOOKUP(A83,A82:H1082,8)</f>
        <v>Groceries</v>
      </c>
    </row>
    <row r="84" spans="1:14" x14ac:dyDescent="0.35">
      <c r="A84">
        <v>83</v>
      </c>
      <c r="B84">
        <v>36</v>
      </c>
      <c r="C84" t="s">
        <v>9</v>
      </c>
      <c r="D84">
        <v>99427</v>
      </c>
      <c r="E84">
        <v>94</v>
      </c>
      <c r="F84">
        <v>8</v>
      </c>
      <c r="G84">
        <v>15</v>
      </c>
      <c r="H84" t="s">
        <v>11</v>
      </c>
      <c r="I84">
        <v>265.04000000000002</v>
      </c>
      <c r="J84" s="1" t="str">
        <f t="shared" si="3"/>
        <v>valid</v>
      </c>
      <c r="K84" t="e">
        <f t="shared" ca="1" si="4"/>
        <v>#NAME?</v>
      </c>
      <c r="L84" t="str">
        <f>IF(E84&gt;=80,"High Value","Normal")</f>
        <v>High Value</v>
      </c>
      <c r="M84" s="2" t="b">
        <f t="shared" si="5"/>
        <v>0</v>
      </c>
      <c r="N84" t="str">
        <f>VLOOKUP(A84,A83:H1083,8)</f>
        <v>Sports</v>
      </c>
    </row>
    <row r="85" spans="1:14" x14ac:dyDescent="0.35">
      <c r="A85">
        <v>84</v>
      </c>
      <c r="B85">
        <v>56</v>
      </c>
      <c r="C85" t="s">
        <v>16</v>
      </c>
      <c r="D85">
        <v>58971</v>
      </c>
      <c r="E85">
        <v>77</v>
      </c>
      <c r="F85">
        <v>9</v>
      </c>
      <c r="G85">
        <v>35</v>
      </c>
      <c r="H85" t="s">
        <v>15</v>
      </c>
      <c r="I85">
        <v>13.16</v>
      </c>
      <c r="J85" s="1" t="str">
        <f t="shared" si="3"/>
        <v>valid</v>
      </c>
      <c r="K85" t="e">
        <f t="shared" ca="1" si="4"/>
        <v>#NAME?</v>
      </c>
      <c r="L85" t="str">
        <f>IF(E85&gt;=80,"High Value","Normal")</f>
        <v>Normal</v>
      </c>
      <c r="M85" s="2" t="str">
        <f t="shared" si="5"/>
        <v>YES</v>
      </c>
      <c r="N85" t="str">
        <f>VLOOKUP(A85,A84:H1084,8)</f>
        <v>Electronics</v>
      </c>
    </row>
    <row r="86" spans="1:14" x14ac:dyDescent="0.35">
      <c r="A86">
        <v>85</v>
      </c>
      <c r="B86">
        <v>19</v>
      </c>
      <c r="C86" t="s">
        <v>16</v>
      </c>
      <c r="D86">
        <v>101100</v>
      </c>
      <c r="E86">
        <v>43</v>
      </c>
      <c r="F86">
        <v>3</v>
      </c>
      <c r="G86">
        <v>14</v>
      </c>
      <c r="H86" t="s">
        <v>12</v>
      </c>
      <c r="I86">
        <v>392.36</v>
      </c>
      <c r="J86" s="1" t="str">
        <f t="shared" si="3"/>
        <v>valid</v>
      </c>
      <c r="K86" t="e">
        <f t="shared" ca="1" si="4"/>
        <v>#NAME?</v>
      </c>
      <c r="L86" t="str">
        <f>IF(E86&gt;=80,"High Value","Normal")</f>
        <v>Normal</v>
      </c>
      <c r="M86" s="2" t="b">
        <f t="shared" si="5"/>
        <v>0</v>
      </c>
      <c r="N86" t="str">
        <f>VLOOKUP(A86,A85:H1085,8)</f>
        <v>Clothing</v>
      </c>
    </row>
    <row r="87" spans="1:14" x14ac:dyDescent="0.35">
      <c r="A87">
        <v>86</v>
      </c>
      <c r="B87">
        <v>31</v>
      </c>
      <c r="C87" t="s">
        <v>13</v>
      </c>
      <c r="D87">
        <v>61849</v>
      </c>
      <c r="E87">
        <v>24</v>
      </c>
      <c r="F87">
        <v>6</v>
      </c>
      <c r="G87">
        <v>31</v>
      </c>
      <c r="H87" t="s">
        <v>14</v>
      </c>
      <c r="I87">
        <v>120.8</v>
      </c>
      <c r="J87" s="1" t="str">
        <f t="shared" si="3"/>
        <v>valid</v>
      </c>
      <c r="K87" t="e">
        <f t="shared" ca="1" si="4"/>
        <v>#NAME?</v>
      </c>
      <c r="L87" t="str">
        <f>IF(E87&gt;=80,"High Value","Normal")</f>
        <v>Normal</v>
      </c>
      <c r="M87" s="2" t="str">
        <f t="shared" si="5"/>
        <v>YES</v>
      </c>
      <c r="N87" t="str">
        <f>VLOOKUP(A87,A86:H1086,8)</f>
        <v>Home &amp; Garden</v>
      </c>
    </row>
    <row r="88" spans="1:14" x14ac:dyDescent="0.35">
      <c r="A88">
        <v>87</v>
      </c>
      <c r="B88">
        <v>59</v>
      </c>
      <c r="C88" t="s">
        <v>16</v>
      </c>
      <c r="D88">
        <v>47990</v>
      </c>
      <c r="E88">
        <v>3</v>
      </c>
      <c r="F88">
        <v>10</v>
      </c>
      <c r="G88">
        <v>48</v>
      </c>
      <c r="H88" t="s">
        <v>14</v>
      </c>
      <c r="I88">
        <v>755.92</v>
      </c>
      <c r="J88" s="1" t="str">
        <f t="shared" si="3"/>
        <v>valid</v>
      </c>
      <c r="K88" t="e">
        <f t="shared" ca="1" si="4"/>
        <v>#NAME?</v>
      </c>
      <c r="L88" t="str">
        <f>IF(E88&gt;=80,"High Value","Normal")</f>
        <v>Normal</v>
      </c>
      <c r="M88" s="2" t="str">
        <f t="shared" si="5"/>
        <v>YES</v>
      </c>
      <c r="N88" t="str">
        <f>VLOOKUP(A88,A87:H1087,8)</f>
        <v>Home &amp; Garden</v>
      </c>
    </row>
    <row r="89" spans="1:14" x14ac:dyDescent="0.35">
      <c r="A89">
        <v>88</v>
      </c>
      <c r="B89">
        <v>31</v>
      </c>
      <c r="C89" t="s">
        <v>16</v>
      </c>
      <c r="D89">
        <v>55100</v>
      </c>
      <c r="E89">
        <v>20</v>
      </c>
      <c r="F89">
        <v>7</v>
      </c>
      <c r="G89">
        <v>31</v>
      </c>
      <c r="H89" t="s">
        <v>11</v>
      </c>
      <c r="I89">
        <v>59.84</v>
      </c>
      <c r="J89" s="1" t="str">
        <f t="shared" si="3"/>
        <v>valid</v>
      </c>
      <c r="K89" t="e">
        <f t="shared" ca="1" si="4"/>
        <v>#NAME?</v>
      </c>
      <c r="L89" t="str">
        <f>IF(E89&gt;=80,"High Value","Normal")</f>
        <v>Normal</v>
      </c>
      <c r="M89" s="2" t="str">
        <f t="shared" si="5"/>
        <v>YES</v>
      </c>
      <c r="N89" t="str">
        <f>VLOOKUP(A89,A88:H1088,8)</f>
        <v>Sports</v>
      </c>
    </row>
    <row r="90" spans="1:14" x14ac:dyDescent="0.35">
      <c r="A90">
        <v>89</v>
      </c>
      <c r="B90">
        <v>18</v>
      </c>
      <c r="C90" t="s">
        <v>13</v>
      </c>
      <c r="D90">
        <v>105470</v>
      </c>
      <c r="E90">
        <v>8</v>
      </c>
      <c r="F90">
        <v>7</v>
      </c>
      <c r="G90">
        <v>4</v>
      </c>
      <c r="H90" t="s">
        <v>12</v>
      </c>
      <c r="I90">
        <v>746.18</v>
      </c>
      <c r="J90" s="1" t="str">
        <f t="shared" si="3"/>
        <v>valid</v>
      </c>
      <c r="K90" t="e">
        <f t="shared" ca="1" si="4"/>
        <v>#NAME?</v>
      </c>
      <c r="L90" t="str">
        <f>IF(E90&gt;=80,"High Value","Normal")</f>
        <v>Normal</v>
      </c>
      <c r="M90" s="2" t="b">
        <f t="shared" si="5"/>
        <v>0</v>
      </c>
      <c r="N90" t="str">
        <f>VLOOKUP(A90,A89:H1089,8)</f>
        <v>Clothing</v>
      </c>
    </row>
    <row r="91" spans="1:14" x14ac:dyDescent="0.35">
      <c r="A91">
        <v>90</v>
      </c>
      <c r="B91">
        <v>45</v>
      </c>
      <c r="C91" t="s">
        <v>13</v>
      </c>
      <c r="D91">
        <v>63381</v>
      </c>
      <c r="E91">
        <v>80</v>
      </c>
      <c r="F91">
        <v>4</v>
      </c>
      <c r="G91">
        <v>8</v>
      </c>
      <c r="H91" t="s">
        <v>14</v>
      </c>
      <c r="I91">
        <v>754.24</v>
      </c>
      <c r="J91" s="1" t="str">
        <f t="shared" si="3"/>
        <v>valid</v>
      </c>
      <c r="K91" t="e">
        <f t="shared" ca="1" si="4"/>
        <v>#NAME?</v>
      </c>
      <c r="L91" t="str">
        <f>IF(E91&gt;=80,"High Value","Normal")</f>
        <v>High Value</v>
      </c>
      <c r="M91" s="2" t="b">
        <f t="shared" si="5"/>
        <v>0</v>
      </c>
      <c r="N91" t="str">
        <f>VLOOKUP(A91,A90:H1090,8)</f>
        <v>Home &amp; Garden</v>
      </c>
    </row>
    <row r="92" spans="1:14" x14ac:dyDescent="0.35">
      <c r="A92">
        <v>91</v>
      </c>
      <c r="B92">
        <v>32</v>
      </c>
      <c r="C92" t="s">
        <v>13</v>
      </c>
      <c r="D92">
        <v>92089</v>
      </c>
      <c r="E92">
        <v>16</v>
      </c>
      <c r="F92">
        <v>1</v>
      </c>
      <c r="G92">
        <v>47</v>
      </c>
      <c r="H92" t="s">
        <v>14</v>
      </c>
      <c r="I92">
        <v>209.86</v>
      </c>
      <c r="J92" s="1" t="str">
        <f t="shared" si="3"/>
        <v>valid</v>
      </c>
      <c r="K92" t="e">
        <f t="shared" ca="1" si="4"/>
        <v>#NAME?</v>
      </c>
      <c r="L92" t="str">
        <f>IF(E92&gt;=80,"High Value","Normal")</f>
        <v>Normal</v>
      </c>
      <c r="M92" s="2" t="str">
        <f t="shared" si="5"/>
        <v>YES</v>
      </c>
      <c r="N92" t="str">
        <f>VLOOKUP(A92,A91:H1091,8)</f>
        <v>Home &amp; Garden</v>
      </c>
    </row>
    <row r="93" spans="1:14" x14ac:dyDescent="0.35">
      <c r="A93">
        <v>92</v>
      </c>
      <c r="B93">
        <v>39</v>
      </c>
      <c r="C93" t="s">
        <v>13</v>
      </c>
      <c r="D93">
        <v>104031</v>
      </c>
      <c r="E93">
        <v>67</v>
      </c>
      <c r="F93">
        <v>6</v>
      </c>
      <c r="G93">
        <v>28</v>
      </c>
      <c r="H93" t="s">
        <v>14</v>
      </c>
      <c r="I93">
        <v>930.36</v>
      </c>
      <c r="J93" s="1" t="str">
        <f t="shared" si="3"/>
        <v>valid</v>
      </c>
      <c r="K93" t="e">
        <f t="shared" ca="1" si="4"/>
        <v>#NAME?</v>
      </c>
      <c r="L93" t="str">
        <f>IF(E93&gt;=80,"High Value","Normal")</f>
        <v>Normal</v>
      </c>
      <c r="M93" s="2" t="str">
        <f t="shared" si="5"/>
        <v>YES</v>
      </c>
      <c r="N93" t="str">
        <f>VLOOKUP(A93,A92:H1092,8)</f>
        <v>Home &amp; Garden</v>
      </c>
    </row>
    <row r="94" spans="1:14" x14ac:dyDescent="0.35">
      <c r="A94">
        <v>93</v>
      </c>
      <c r="B94">
        <v>65</v>
      </c>
      <c r="C94" t="s">
        <v>16</v>
      </c>
      <c r="D94">
        <v>62792</v>
      </c>
      <c r="E94">
        <v>83</v>
      </c>
      <c r="F94">
        <v>8</v>
      </c>
      <c r="G94">
        <v>11</v>
      </c>
      <c r="H94" t="s">
        <v>15</v>
      </c>
      <c r="I94">
        <v>230.58</v>
      </c>
      <c r="J94" s="1" t="str">
        <f t="shared" si="3"/>
        <v>valid</v>
      </c>
      <c r="K94" t="e">
        <f t="shared" ca="1" si="4"/>
        <v>#NAME?</v>
      </c>
      <c r="L94" t="str">
        <f>IF(E94&gt;=80,"High Value","Normal")</f>
        <v>High Value</v>
      </c>
      <c r="M94" s="2" t="b">
        <f t="shared" si="5"/>
        <v>0</v>
      </c>
      <c r="N94" t="str">
        <f>VLOOKUP(A94,A93:H1093,8)</f>
        <v>Electronics</v>
      </c>
    </row>
    <row r="95" spans="1:14" x14ac:dyDescent="0.35">
      <c r="A95">
        <v>94</v>
      </c>
      <c r="B95">
        <v>46</v>
      </c>
      <c r="C95" t="s">
        <v>13</v>
      </c>
      <c r="D95">
        <v>113116</v>
      </c>
      <c r="E95">
        <v>7</v>
      </c>
      <c r="F95">
        <v>10</v>
      </c>
      <c r="G95">
        <v>13</v>
      </c>
      <c r="H95" t="s">
        <v>12</v>
      </c>
      <c r="I95">
        <v>190.55</v>
      </c>
      <c r="J95" s="1" t="str">
        <f t="shared" si="3"/>
        <v>valid</v>
      </c>
      <c r="K95" t="e">
        <f t="shared" ca="1" si="4"/>
        <v>#NAME?</v>
      </c>
      <c r="L95" t="str">
        <f>IF(E95&gt;=80,"High Value","Normal")</f>
        <v>Normal</v>
      </c>
      <c r="M95" s="2" t="b">
        <f t="shared" si="5"/>
        <v>0</v>
      </c>
      <c r="N95" t="str">
        <f>VLOOKUP(A95,A94:H1094,8)</f>
        <v>Clothing</v>
      </c>
    </row>
    <row r="96" spans="1:14" x14ac:dyDescent="0.35">
      <c r="A96">
        <v>95</v>
      </c>
      <c r="B96">
        <v>30</v>
      </c>
      <c r="C96" t="s">
        <v>13</v>
      </c>
      <c r="D96">
        <v>75926</v>
      </c>
      <c r="E96">
        <v>97</v>
      </c>
      <c r="F96">
        <v>10</v>
      </c>
      <c r="G96">
        <v>19</v>
      </c>
      <c r="H96" t="s">
        <v>11</v>
      </c>
      <c r="I96">
        <v>670.87</v>
      </c>
      <c r="J96" s="1" t="str">
        <f t="shared" si="3"/>
        <v>valid</v>
      </c>
      <c r="K96" t="e">
        <f t="shared" ca="1" si="4"/>
        <v>#NAME?</v>
      </c>
      <c r="L96" t="str">
        <f>IF(E96&gt;=80,"High Value","Normal")</f>
        <v>High Value</v>
      </c>
      <c r="M96" s="2" t="b">
        <f t="shared" si="5"/>
        <v>0</v>
      </c>
      <c r="N96" t="str">
        <f>VLOOKUP(A96,A95:H1095,8)</f>
        <v>Sports</v>
      </c>
    </row>
    <row r="97" spans="1:14" x14ac:dyDescent="0.35">
      <c r="A97">
        <v>96</v>
      </c>
      <c r="B97">
        <v>23</v>
      </c>
      <c r="C97" t="s">
        <v>16</v>
      </c>
      <c r="D97">
        <v>108480</v>
      </c>
      <c r="E97">
        <v>46</v>
      </c>
      <c r="F97">
        <v>10</v>
      </c>
      <c r="G97">
        <v>21</v>
      </c>
      <c r="H97" t="s">
        <v>12</v>
      </c>
      <c r="I97">
        <v>377.31</v>
      </c>
      <c r="J97" s="1" t="str">
        <f t="shared" si="3"/>
        <v>valid</v>
      </c>
      <c r="K97" t="e">
        <f t="shared" ca="1" si="4"/>
        <v>#NAME?</v>
      </c>
      <c r="L97" t="str">
        <f>IF(E97&gt;=80,"High Value","Normal")</f>
        <v>Normal</v>
      </c>
      <c r="M97" s="2" t="b">
        <f t="shared" si="5"/>
        <v>0</v>
      </c>
      <c r="N97" t="str">
        <f>VLOOKUP(A97,A96:H1096,8)</f>
        <v>Clothing</v>
      </c>
    </row>
    <row r="98" spans="1:14" x14ac:dyDescent="0.35">
      <c r="A98">
        <v>97</v>
      </c>
      <c r="B98">
        <v>63</v>
      </c>
      <c r="C98" t="s">
        <v>13</v>
      </c>
      <c r="D98">
        <v>102834</v>
      </c>
      <c r="E98">
        <v>31</v>
      </c>
      <c r="F98">
        <v>7</v>
      </c>
      <c r="G98">
        <v>20</v>
      </c>
      <c r="H98" t="s">
        <v>15</v>
      </c>
      <c r="I98">
        <v>582.57000000000005</v>
      </c>
      <c r="J98" s="1" t="str">
        <f t="shared" si="3"/>
        <v>valid</v>
      </c>
      <c r="K98" t="e">
        <f t="shared" ca="1" si="4"/>
        <v>#NAME?</v>
      </c>
      <c r="L98" t="str">
        <f>IF(E98&gt;=80,"High Value","Normal")</f>
        <v>Normal</v>
      </c>
      <c r="M98" s="2" t="b">
        <f t="shared" si="5"/>
        <v>0</v>
      </c>
      <c r="N98" t="str">
        <f>VLOOKUP(A98,A97:H1097,8)</f>
        <v>Electronics</v>
      </c>
    </row>
    <row r="99" spans="1:14" x14ac:dyDescent="0.35">
      <c r="A99">
        <v>98</v>
      </c>
      <c r="B99">
        <v>49</v>
      </c>
      <c r="C99" t="s">
        <v>16</v>
      </c>
      <c r="D99">
        <v>46695</v>
      </c>
      <c r="E99">
        <v>99</v>
      </c>
      <c r="F99">
        <v>9</v>
      </c>
      <c r="G99">
        <v>26</v>
      </c>
      <c r="H99" t="s">
        <v>12</v>
      </c>
      <c r="I99">
        <v>674.7</v>
      </c>
      <c r="J99" s="1" t="str">
        <f t="shared" si="3"/>
        <v>valid</v>
      </c>
      <c r="K99" t="e">
        <f t="shared" ca="1" si="4"/>
        <v>#NAME?</v>
      </c>
      <c r="L99" t="str">
        <f>IF(E99&gt;=80,"High Value","Normal")</f>
        <v>High Value</v>
      </c>
      <c r="M99" s="2" t="str">
        <f t="shared" si="5"/>
        <v>YES</v>
      </c>
      <c r="N99" t="str">
        <f>VLOOKUP(A99,A98:H1098,8)</f>
        <v>Clothing</v>
      </c>
    </row>
    <row r="100" spans="1:14" x14ac:dyDescent="0.35">
      <c r="A100">
        <v>99</v>
      </c>
      <c r="B100">
        <v>21</v>
      </c>
      <c r="C100" t="s">
        <v>13</v>
      </c>
      <c r="D100">
        <v>105024</v>
      </c>
      <c r="E100">
        <v>45</v>
      </c>
      <c r="F100">
        <v>3</v>
      </c>
      <c r="G100">
        <v>32</v>
      </c>
      <c r="H100" t="s">
        <v>11</v>
      </c>
      <c r="I100">
        <v>795.84</v>
      </c>
      <c r="J100" s="1" t="str">
        <f t="shared" si="3"/>
        <v>valid</v>
      </c>
      <c r="K100" t="e">
        <f t="shared" ca="1" si="4"/>
        <v>#NAME?</v>
      </c>
      <c r="L100" t="str">
        <f>IF(E100&gt;=80,"High Value","Normal")</f>
        <v>Normal</v>
      </c>
      <c r="M100" s="2" t="b">
        <f t="shared" si="5"/>
        <v>0</v>
      </c>
      <c r="N100" t="str">
        <f>VLOOKUP(A100,A99:H1099,8)</f>
        <v>Sports</v>
      </c>
    </row>
    <row r="101" spans="1:14" x14ac:dyDescent="0.35">
      <c r="A101">
        <v>100</v>
      </c>
      <c r="B101">
        <v>26</v>
      </c>
      <c r="C101" t="s">
        <v>9</v>
      </c>
      <c r="D101">
        <v>59496</v>
      </c>
      <c r="E101">
        <v>58</v>
      </c>
      <c r="F101">
        <v>2</v>
      </c>
      <c r="G101">
        <v>50</v>
      </c>
      <c r="H101" t="s">
        <v>12</v>
      </c>
      <c r="I101">
        <v>23.33</v>
      </c>
      <c r="J101" s="1" t="str">
        <f t="shared" si="3"/>
        <v>valid</v>
      </c>
      <c r="K101" t="e">
        <f t="shared" ca="1" si="4"/>
        <v>#NAME?</v>
      </c>
      <c r="L101" t="str">
        <f>IF(E101&gt;=80,"High Value","Normal")</f>
        <v>Normal</v>
      </c>
      <c r="M101" s="2" t="b">
        <f t="shared" si="5"/>
        <v>0</v>
      </c>
      <c r="N101" t="str">
        <f>VLOOKUP(A101,A100:H1100,8)</f>
        <v>Clothing</v>
      </c>
    </row>
    <row r="102" spans="1:14" x14ac:dyDescent="0.35">
      <c r="A102">
        <v>101</v>
      </c>
      <c r="B102">
        <v>40</v>
      </c>
      <c r="C102" t="s">
        <v>9</v>
      </c>
      <c r="D102">
        <v>115569</v>
      </c>
      <c r="E102">
        <v>1</v>
      </c>
      <c r="F102">
        <v>2</v>
      </c>
      <c r="G102">
        <v>5</v>
      </c>
      <c r="H102" t="s">
        <v>10</v>
      </c>
      <c r="I102">
        <v>241.91</v>
      </c>
      <c r="J102" s="1" t="str">
        <f t="shared" si="3"/>
        <v>valid</v>
      </c>
      <c r="K102" t="e">
        <f t="shared" ca="1" si="4"/>
        <v>#NAME?</v>
      </c>
      <c r="L102" t="str">
        <f>IF(E102&gt;=80,"High Value","Normal")</f>
        <v>Normal</v>
      </c>
      <c r="M102" s="2" t="b">
        <f t="shared" si="5"/>
        <v>0</v>
      </c>
      <c r="N102" t="str">
        <f>VLOOKUP(A102,A101:H1101,8)</f>
        <v>Groceries</v>
      </c>
    </row>
    <row r="103" spans="1:14" x14ac:dyDescent="0.35">
      <c r="A103">
        <v>102</v>
      </c>
      <c r="B103">
        <v>18</v>
      </c>
      <c r="C103" t="s">
        <v>16</v>
      </c>
      <c r="D103">
        <v>49346</v>
      </c>
      <c r="E103">
        <v>70</v>
      </c>
      <c r="F103">
        <v>7</v>
      </c>
      <c r="G103">
        <v>38</v>
      </c>
      <c r="H103" t="s">
        <v>10</v>
      </c>
      <c r="I103">
        <v>127.14</v>
      </c>
      <c r="J103" s="1" t="str">
        <f t="shared" si="3"/>
        <v>valid</v>
      </c>
      <c r="K103" t="e">
        <f t="shared" ca="1" si="4"/>
        <v>#NAME?</v>
      </c>
      <c r="L103" t="str">
        <f>IF(E103&gt;=80,"High Value","Normal")</f>
        <v>Normal</v>
      </c>
      <c r="M103" s="2" t="b">
        <f t="shared" si="5"/>
        <v>0</v>
      </c>
      <c r="N103" t="str">
        <f>VLOOKUP(A103,A102:H1102,8)</f>
        <v>Groceries</v>
      </c>
    </row>
    <row r="104" spans="1:14" x14ac:dyDescent="0.35">
      <c r="A104">
        <v>103</v>
      </c>
      <c r="B104">
        <v>19</v>
      </c>
      <c r="C104" t="s">
        <v>16</v>
      </c>
      <c r="D104">
        <v>75430</v>
      </c>
      <c r="E104">
        <v>50</v>
      </c>
      <c r="F104">
        <v>7</v>
      </c>
      <c r="G104">
        <v>32</v>
      </c>
      <c r="H104" t="s">
        <v>12</v>
      </c>
      <c r="I104">
        <v>532.51</v>
      </c>
      <c r="J104" s="1" t="str">
        <f t="shared" si="3"/>
        <v>valid</v>
      </c>
      <c r="K104" t="e">
        <f t="shared" ca="1" si="4"/>
        <v>#NAME?</v>
      </c>
      <c r="L104" t="str">
        <f>IF(E104&gt;=80,"High Value","Normal")</f>
        <v>Normal</v>
      </c>
      <c r="M104" s="2" t="b">
        <f t="shared" si="5"/>
        <v>0</v>
      </c>
      <c r="N104" t="str">
        <f>VLOOKUP(A104,A103:H1103,8)</f>
        <v>Clothing</v>
      </c>
    </row>
    <row r="105" spans="1:14" x14ac:dyDescent="0.35">
      <c r="A105">
        <v>104</v>
      </c>
      <c r="B105">
        <v>60</v>
      </c>
      <c r="C105" t="s">
        <v>9</v>
      </c>
      <c r="D105">
        <v>142407</v>
      </c>
      <c r="E105">
        <v>4</v>
      </c>
      <c r="F105">
        <v>2</v>
      </c>
      <c r="G105">
        <v>1</v>
      </c>
      <c r="H105" t="s">
        <v>11</v>
      </c>
      <c r="I105">
        <v>29.58</v>
      </c>
      <c r="J105" s="1" t="str">
        <f t="shared" si="3"/>
        <v>valid</v>
      </c>
      <c r="K105" t="e">
        <f t="shared" ca="1" si="4"/>
        <v>#NAME?</v>
      </c>
      <c r="L105" t="str">
        <f>IF(E105&gt;=80,"High Value","Normal")</f>
        <v>Normal</v>
      </c>
      <c r="M105" s="2" t="b">
        <f t="shared" si="5"/>
        <v>0</v>
      </c>
      <c r="N105" t="str">
        <f>VLOOKUP(A105,A104:H1104,8)</f>
        <v>Sports</v>
      </c>
    </row>
    <row r="106" spans="1:14" x14ac:dyDescent="0.35">
      <c r="A106">
        <v>105</v>
      </c>
      <c r="B106">
        <v>20</v>
      </c>
      <c r="C106" t="s">
        <v>13</v>
      </c>
      <c r="D106">
        <v>34982</v>
      </c>
      <c r="E106">
        <v>7</v>
      </c>
      <c r="F106">
        <v>2</v>
      </c>
      <c r="G106">
        <v>45</v>
      </c>
      <c r="H106" t="s">
        <v>12</v>
      </c>
      <c r="I106">
        <v>597.15</v>
      </c>
      <c r="J106" s="1" t="str">
        <f t="shared" si="3"/>
        <v>valid</v>
      </c>
      <c r="K106" t="e">
        <f t="shared" ca="1" si="4"/>
        <v>#NAME?</v>
      </c>
      <c r="L106" t="str">
        <f>IF(E106&gt;=80,"High Value","Normal")</f>
        <v>Normal</v>
      </c>
      <c r="M106" s="2" t="b">
        <f t="shared" si="5"/>
        <v>0</v>
      </c>
      <c r="N106" t="str">
        <f>VLOOKUP(A106,A105:H1105,8)</f>
        <v>Clothing</v>
      </c>
    </row>
    <row r="107" spans="1:14" x14ac:dyDescent="0.35">
      <c r="A107">
        <v>106</v>
      </c>
      <c r="B107">
        <v>55</v>
      </c>
      <c r="C107" t="s">
        <v>9</v>
      </c>
      <c r="D107">
        <v>147187</v>
      </c>
      <c r="E107">
        <v>37</v>
      </c>
      <c r="F107">
        <v>7</v>
      </c>
      <c r="G107">
        <v>27</v>
      </c>
      <c r="H107" t="s">
        <v>15</v>
      </c>
      <c r="I107">
        <v>941.67</v>
      </c>
      <c r="J107" s="1" t="str">
        <f t="shared" si="3"/>
        <v>valid</v>
      </c>
      <c r="K107" t="e">
        <f t="shared" ca="1" si="4"/>
        <v>#NAME?</v>
      </c>
      <c r="L107" t="str">
        <f>IF(E107&gt;=80,"High Value","Normal")</f>
        <v>Normal</v>
      </c>
      <c r="M107" s="2" t="str">
        <f t="shared" si="5"/>
        <v>YES</v>
      </c>
      <c r="N107" t="str">
        <f>VLOOKUP(A107,A106:H1106,8)</f>
        <v>Electronics</v>
      </c>
    </row>
    <row r="108" spans="1:14" x14ac:dyDescent="0.35">
      <c r="A108">
        <v>107</v>
      </c>
      <c r="B108">
        <v>19</v>
      </c>
      <c r="C108" t="s">
        <v>13</v>
      </c>
      <c r="D108">
        <v>37993</v>
      </c>
      <c r="E108">
        <v>59</v>
      </c>
      <c r="F108">
        <v>6</v>
      </c>
      <c r="G108">
        <v>30</v>
      </c>
      <c r="H108" t="s">
        <v>11</v>
      </c>
      <c r="I108">
        <v>873.8</v>
      </c>
      <c r="J108" s="1" t="str">
        <f t="shared" si="3"/>
        <v>valid</v>
      </c>
      <c r="K108" t="e">
        <f t="shared" ca="1" si="4"/>
        <v>#NAME?</v>
      </c>
      <c r="L108" t="str">
        <f>IF(E108&gt;=80,"High Value","Normal")</f>
        <v>Normal</v>
      </c>
      <c r="M108" s="2" t="b">
        <f t="shared" si="5"/>
        <v>0</v>
      </c>
      <c r="N108" t="str">
        <f>VLOOKUP(A108,A107:H1107,8)</f>
        <v>Sports</v>
      </c>
    </row>
    <row r="109" spans="1:14" x14ac:dyDescent="0.35">
      <c r="A109">
        <v>108</v>
      </c>
      <c r="B109">
        <v>65</v>
      </c>
      <c r="C109" t="s">
        <v>16</v>
      </c>
      <c r="D109">
        <v>81753</v>
      </c>
      <c r="E109">
        <v>72</v>
      </c>
      <c r="F109">
        <v>9</v>
      </c>
      <c r="G109">
        <v>21</v>
      </c>
      <c r="H109" t="s">
        <v>14</v>
      </c>
      <c r="I109">
        <v>633.63</v>
      </c>
      <c r="J109" s="1" t="str">
        <f t="shared" si="3"/>
        <v>valid</v>
      </c>
      <c r="K109" t="e">
        <f t="shared" ca="1" si="4"/>
        <v>#NAME?</v>
      </c>
      <c r="L109" t="str">
        <f>IF(E109&gt;=80,"High Value","Normal")</f>
        <v>Normal</v>
      </c>
      <c r="M109" s="2" t="str">
        <f t="shared" si="5"/>
        <v>YES</v>
      </c>
      <c r="N109" t="str">
        <f>VLOOKUP(A109,A108:H1108,8)</f>
        <v>Home &amp; Garden</v>
      </c>
    </row>
    <row r="110" spans="1:14" x14ac:dyDescent="0.35">
      <c r="A110">
        <v>109</v>
      </c>
      <c r="B110">
        <v>57</v>
      </c>
      <c r="C110" t="s">
        <v>9</v>
      </c>
      <c r="D110">
        <v>81695</v>
      </c>
      <c r="E110">
        <v>90</v>
      </c>
      <c r="F110">
        <v>8</v>
      </c>
      <c r="G110">
        <v>44</v>
      </c>
      <c r="H110" t="s">
        <v>15</v>
      </c>
      <c r="I110">
        <v>179.8</v>
      </c>
      <c r="J110" s="1" t="str">
        <f t="shared" si="3"/>
        <v>valid</v>
      </c>
      <c r="K110" t="e">
        <f t="shared" ca="1" si="4"/>
        <v>#NAME?</v>
      </c>
      <c r="L110" t="str">
        <f>IF(E110&gt;=80,"High Value","Normal")</f>
        <v>High Value</v>
      </c>
      <c r="M110" s="2" t="str">
        <f t="shared" si="5"/>
        <v>YES</v>
      </c>
      <c r="N110" t="str">
        <f>VLOOKUP(A110,A109:H1109,8)</f>
        <v>Electronics</v>
      </c>
    </row>
    <row r="111" spans="1:14" x14ac:dyDescent="0.35">
      <c r="A111">
        <v>110</v>
      </c>
      <c r="B111">
        <v>56</v>
      </c>
      <c r="C111" t="s">
        <v>9</v>
      </c>
      <c r="D111">
        <v>40676</v>
      </c>
      <c r="E111">
        <v>86</v>
      </c>
      <c r="F111">
        <v>7</v>
      </c>
      <c r="G111">
        <v>38</v>
      </c>
      <c r="H111" t="s">
        <v>14</v>
      </c>
      <c r="I111">
        <v>627.65</v>
      </c>
      <c r="J111" s="1" t="str">
        <f t="shared" si="3"/>
        <v>valid</v>
      </c>
      <c r="K111" t="e">
        <f t="shared" ca="1" si="4"/>
        <v>#NAME?</v>
      </c>
      <c r="L111" t="str">
        <f>IF(E111&gt;=80,"High Value","Normal")</f>
        <v>High Value</v>
      </c>
      <c r="M111" s="2" t="str">
        <f t="shared" si="5"/>
        <v>YES</v>
      </c>
      <c r="N111" t="str">
        <f>VLOOKUP(A111,A110:H1110,8)</f>
        <v>Home &amp; Garden</v>
      </c>
    </row>
    <row r="112" spans="1:14" x14ac:dyDescent="0.35">
      <c r="A112">
        <v>111</v>
      </c>
      <c r="B112">
        <v>37</v>
      </c>
      <c r="C112" t="s">
        <v>16</v>
      </c>
      <c r="D112">
        <v>111242</v>
      </c>
      <c r="E112">
        <v>33</v>
      </c>
      <c r="F112">
        <v>5</v>
      </c>
      <c r="G112">
        <v>34</v>
      </c>
      <c r="H112" t="s">
        <v>11</v>
      </c>
      <c r="I112">
        <v>756.32</v>
      </c>
      <c r="J112" s="1" t="str">
        <f t="shared" si="3"/>
        <v>valid</v>
      </c>
      <c r="K112" t="e">
        <f t="shared" ca="1" si="4"/>
        <v>#NAME?</v>
      </c>
      <c r="L112" t="str">
        <f>IF(E112&gt;=80,"High Value","Normal")</f>
        <v>Normal</v>
      </c>
      <c r="M112" s="2" t="str">
        <f t="shared" si="5"/>
        <v>YES</v>
      </c>
      <c r="N112" t="str">
        <f>VLOOKUP(A112,A111:H1111,8)</f>
        <v>Sports</v>
      </c>
    </row>
    <row r="113" spans="1:14" x14ac:dyDescent="0.35">
      <c r="A113">
        <v>112</v>
      </c>
      <c r="B113">
        <v>64</v>
      </c>
      <c r="C113" t="s">
        <v>16</v>
      </c>
      <c r="D113">
        <v>87006</v>
      </c>
      <c r="E113">
        <v>85</v>
      </c>
      <c r="F113">
        <v>7</v>
      </c>
      <c r="G113">
        <v>20</v>
      </c>
      <c r="H113" t="s">
        <v>12</v>
      </c>
      <c r="I113">
        <v>930.73</v>
      </c>
      <c r="J113" s="1" t="str">
        <f t="shared" si="3"/>
        <v>valid</v>
      </c>
      <c r="K113" t="e">
        <f t="shared" ca="1" si="4"/>
        <v>#NAME?</v>
      </c>
      <c r="L113" t="str">
        <f>IF(E113&gt;=80,"High Value","Normal")</f>
        <v>High Value</v>
      </c>
      <c r="M113" s="2" t="b">
        <f t="shared" si="5"/>
        <v>0</v>
      </c>
      <c r="N113" t="str">
        <f>VLOOKUP(A113,A112:H1112,8)</f>
        <v>Clothing</v>
      </c>
    </row>
    <row r="114" spans="1:14" x14ac:dyDescent="0.35">
      <c r="A114">
        <v>113</v>
      </c>
      <c r="B114">
        <v>58</v>
      </c>
      <c r="C114" t="s">
        <v>16</v>
      </c>
      <c r="D114">
        <v>82856</v>
      </c>
      <c r="E114">
        <v>33</v>
      </c>
      <c r="F114">
        <v>7</v>
      </c>
      <c r="G114">
        <v>20</v>
      </c>
      <c r="H114" t="s">
        <v>10</v>
      </c>
      <c r="I114">
        <v>450.72</v>
      </c>
      <c r="J114" s="1" t="str">
        <f t="shared" si="3"/>
        <v>valid</v>
      </c>
      <c r="K114" t="e">
        <f t="shared" ca="1" si="4"/>
        <v>#NAME?</v>
      </c>
      <c r="L114" t="str">
        <f>IF(E114&gt;=80,"High Value","Normal")</f>
        <v>Normal</v>
      </c>
      <c r="M114" s="2" t="b">
        <f t="shared" si="5"/>
        <v>0</v>
      </c>
      <c r="N114" t="str">
        <f>VLOOKUP(A114,A113:H1113,8)</f>
        <v>Groceries</v>
      </c>
    </row>
    <row r="115" spans="1:14" x14ac:dyDescent="0.35">
      <c r="A115">
        <v>114</v>
      </c>
      <c r="B115">
        <v>32</v>
      </c>
      <c r="C115" t="s">
        <v>16</v>
      </c>
      <c r="D115">
        <v>35514</v>
      </c>
      <c r="E115">
        <v>4</v>
      </c>
      <c r="F115">
        <v>5</v>
      </c>
      <c r="G115">
        <v>36</v>
      </c>
      <c r="H115" t="s">
        <v>11</v>
      </c>
      <c r="I115">
        <v>415.44</v>
      </c>
      <c r="J115" s="1" t="str">
        <f t="shared" si="3"/>
        <v>valid</v>
      </c>
      <c r="K115" t="e">
        <f t="shared" ca="1" si="4"/>
        <v>#NAME?</v>
      </c>
      <c r="L115" t="str">
        <f>IF(E115&gt;=80,"High Value","Normal")</f>
        <v>Normal</v>
      </c>
      <c r="M115" s="2" t="str">
        <f t="shared" si="5"/>
        <v>YES</v>
      </c>
      <c r="N115" t="str">
        <f>VLOOKUP(A115,A114:H1114,8)</f>
        <v>Sports</v>
      </c>
    </row>
    <row r="116" spans="1:14" x14ac:dyDescent="0.35">
      <c r="A116">
        <v>115</v>
      </c>
      <c r="B116">
        <v>64</v>
      </c>
      <c r="C116" t="s">
        <v>16</v>
      </c>
      <c r="D116">
        <v>87595</v>
      </c>
      <c r="E116">
        <v>11</v>
      </c>
      <c r="F116">
        <v>5</v>
      </c>
      <c r="G116">
        <v>21</v>
      </c>
      <c r="H116" t="s">
        <v>15</v>
      </c>
      <c r="I116">
        <v>69.78</v>
      </c>
      <c r="J116" s="1" t="str">
        <f t="shared" si="3"/>
        <v>valid</v>
      </c>
      <c r="K116" t="e">
        <f t="shared" ca="1" si="4"/>
        <v>#NAME?</v>
      </c>
      <c r="L116" t="str">
        <f>IF(E116&gt;=80,"High Value","Normal")</f>
        <v>Normal</v>
      </c>
      <c r="M116" s="2" t="str">
        <f t="shared" si="5"/>
        <v>YES</v>
      </c>
      <c r="N116" t="str">
        <f>VLOOKUP(A116,A115:H1115,8)</f>
        <v>Electronics</v>
      </c>
    </row>
    <row r="117" spans="1:14" x14ac:dyDescent="0.35">
      <c r="A117">
        <v>116</v>
      </c>
      <c r="B117">
        <v>59</v>
      </c>
      <c r="C117" t="s">
        <v>16</v>
      </c>
      <c r="D117">
        <v>125014</v>
      </c>
      <c r="E117">
        <v>89</v>
      </c>
      <c r="F117">
        <v>7</v>
      </c>
      <c r="G117">
        <v>42</v>
      </c>
      <c r="H117" t="s">
        <v>14</v>
      </c>
      <c r="I117">
        <v>451.82</v>
      </c>
      <c r="J117" s="1" t="str">
        <f t="shared" si="3"/>
        <v>valid</v>
      </c>
      <c r="K117" t="e">
        <f t="shared" ca="1" si="4"/>
        <v>#NAME?</v>
      </c>
      <c r="L117" t="str">
        <f>IF(E117&gt;=80,"High Value","Normal")</f>
        <v>High Value</v>
      </c>
      <c r="M117" s="2" t="str">
        <f t="shared" si="5"/>
        <v>YES</v>
      </c>
      <c r="N117" t="str">
        <f>VLOOKUP(A117,A116:H1116,8)</f>
        <v>Home &amp; Garden</v>
      </c>
    </row>
    <row r="118" spans="1:14" x14ac:dyDescent="0.35">
      <c r="A118">
        <v>117</v>
      </c>
      <c r="B118">
        <v>62</v>
      </c>
      <c r="C118" t="s">
        <v>16</v>
      </c>
      <c r="D118">
        <v>128322</v>
      </c>
      <c r="E118">
        <v>44</v>
      </c>
      <c r="F118">
        <v>4</v>
      </c>
      <c r="G118">
        <v>31</v>
      </c>
      <c r="H118" t="s">
        <v>15</v>
      </c>
      <c r="I118">
        <v>668.91</v>
      </c>
      <c r="J118" s="1" t="str">
        <f t="shared" si="3"/>
        <v>valid</v>
      </c>
      <c r="K118" t="e">
        <f t="shared" ca="1" si="4"/>
        <v>#NAME?</v>
      </c>
      <c r="L118" t="str">
        <f>IF(E118&gt;=80,"High Value","Normal")</f>
        <v>Normal</v>
      </c>
      <c r="M118" s="2" t="str">
        <f t="shared" si="5"/>
        <v>YES</v>
      </c>
      <c r="N118" t="str">
        <f>VLOOKUP(A118,A117:H1117,8)</f>
        <v>Electronics</v>
      </c>
    </row>
    <row r="119" spans="1:14" x14ac:dyDescent="0.35">
      <c r="A119">
        <v>118</v>
      </c>
      <c r="B119">
        <v>62</v>
      </c>
      <c r="C119" t="s">
        <v>16</v>
      </c>
      <c r="D119">
        <v>48693</v>
      </c>
      <c r="E119">
        <v>36</v>
      </c>
      <c r="F119">
        <v>9</v>
      </c>
      <c r="G119">
        <v>44</v>
      </c>
      <c r="H119" t="s">
        <v>14</v>
      </c>
      <c r="I119">
        <v>755.67</v>
      </c>
      <c r="J119" s="1" t="str">
        <f t="shared" si="3"/>
        <v>valid</v>
      </c>
      <c r="K119" t="e">
        <f t="shared" ca="1" si="4"/>
        <v>#NAME?</v>
      </c>
      <c r="L119" t="str">
        <f>IF(E119&gt;=80,"High Value","Normal")</f>
        <v>Normal</v>
      </c>
      <c r="M119" s="2" t="str">
        <f t="shared" si="5"/>
        <v>YES</v>
      </c>
      <c r="N119" t="str">
        <f>VLOOKUP(A119,A118:H1118,8)</f>
        <v>Home &amp; Garden</v>
      </c>
    </row>
    <row r="120" spans="1:14" x14ac:dyDescent="0.35">
      <c r="A120">
        <v>119</v>
      </c>
      <c r="B120">
        <v>33</v>
      </c>
      <c r="C120" t="s">
        <v>16</v>
      </c>
      <c r="D120">
        <v>113154</v>
      </c>
      <c r="E120">
        <v>75</v>
      </c>
      <c r="F120">
        <v>8</v>
      </c>
      <c r="G120">
        <v>46</v>
      </c>
      <c r="H120" t="s">
        <v>10</v>
      </c>
      <c r="I120">
        <v>895.58</v>
      </c>
      <c r="J120" s="1" t="str">
        <f t="shared" si="3"/>
        <v>valid</v>
      </c>
      <c r="K120" t="e">
        <f t="shared" ca="1" si="4"/>
        <v>#NAME?</v>
      </c>
      <c r="L120" t="str">
        <f>IF(E120&gt;=80,"High Value","Normal")</f>
        <v>Normal</v>
      </c>
      <c r="M120" s="2" t="str">
        <f t="shared" si="5"/>
        <v>YES</v>
      </c>
      <c r="N120" t="str">
        <f>VLOOKUP(A120,A119:H1119,8)</f>
        <v>Groceries</v>
      </c>
    </row>
    <row r="121" spans="1:14" x14ac:dyDescent="0.35">
      <c r="A121">
        <v>120</v>
      </c>
      <c r="B121">
        <v>68</v>
      </c>
      <c r="C121" t="s">
        <v>9</v>
      </c>
      <c r="D121">
        <v>78309</v>
      </c>
      <c r="E121">
        <v>12</v>
      </c>
      <c r="F121">
        <v>2</v>
      </c>
      <c r="G121">
        <v>49</v>
      </c>
      <c r="H121" t="s">
        <v>12</v>
      </c>
      <c r="I121">
        <v>848.14</v>
      </c>
      <c r="J121" s="1" t="str">
        <f t="shared" si="3"/>
        <v>valid</v>
      </c>
      <c r="K121" t="e">
        <f t="shared" ca="1" si="4"/>
        <v>#NAME?</v>
      </c>
      <c r="L121" t="str">
        <f>IF(E121&gt;=80,"High Value","Normal")</f>
        <v>Normal</v>
      </c>
      <c r="M121" s="2" t="str">
        <f t="shared" si="5"/>
        <v>YES</v>
      </c>
      <c r="N121" t="str">
        <f>VLOOKUP(A121,A120:H1120,8)</f>
        <v>Clothing</v>
      </c>
    </row>
    <row r="122" spans="1:14" x14ac:dyDescent="0.35">
      <c r="A122">
        <v>121</v>
      </c>
      <c r="B122">
        <v>47</v>
      </c>
      <c r="C122" t="s">
        <v>9</v>
      </c>
      <c r="D122">
        <v>112072</v>
      </c>
      <c r="E122">
        <v>50</v>
      </c>
      <c r="F122">
        <v>5</v>
      </c>
      <c r="G122">
        <v>21</v>
      </c>
      <c r="H122" t="s">
        <v>10</v>
      </c>
      <c r="I122">
        <v>884.19</v>
      </c>
      <c r="J122" s="1" t="str">
        <f t="shared" si="3"/>
        <v>valid</v>
      </c>
      <c r="K122" t="e">
        <f t="shared" ca="1" si="4"/>
        <v>#NAME?</v>
      </c>
      <c r="L122" t="str">
        <f>IF(E122&gt;=80,"High Value","Normal")</f>
        <v>Normal</v>
      </c>
      <c r="M122" s="2" t="str">
        <f t="shared" si="5"/>
        <v>YES</v>
      </c>
      <c r="N122" t="str">
        <f>VLOOKUP(A122,A121:H1121,8)</f>
        <v>Groceries</v>
      </c>
    </row>
    <row r="123" spans="1:14" x14ac:dyDescent="0.35">
      <c r="A123">
        <v>122</v>
      </c>
      <c r="B123">
        <v>43</v>
      </c>
      <c r="C123" t="s">
        <v>16</v>
      </c>
      <c r="D123">
        <v>42855</v>
      </c>
      <c r="E123">
        <v>66</v>
      </c>
      <c r="F123">
        <v>6</v>
      </c>
      <c r="G123">
        <v>23</v>
      </c>
      <c r="H123" t="s">
        <v>15</v>
      </c>
      <c r="I123">
        <v>138.51</v>
      </c>
      <c r="J123" s="1" t="str">
        <f t="shared" si="3"/>
        <v>valid</v>
      </c>
      <c r="K123" t="e">
        <f t="shared" ca="1" si="4"/>
        <v>#NAME?</v>
      </c>
      <c r="L123" t="str">
        <f>IF(E123&gt;=80,"High Value","Normal")</f>
        <v>Normal</v>
      </c>
      <c r="M123" s="2" t="str">
        <f t="shared" si="5"/>
        <v>YES</v>
      </c>
      <c r="N123" t="str">
        <f>VLOOKUP(A123,A122:H1122,8)</f>
        <v>Electronics</v>
      </c>
    </row>
    <row r="124" spans="1:14" x14ac:dyDescent="0.35">
      <c r="A124">
        <v>123</v>
      </c>
      <c r="B124">
        <v>26</v>
      </c>
      <c r="C124" t="s">
        <v>13</v>
      </c>
      <c r="D124">
        <v>55515</v>
      </c>
      <c r="E124">
        <v>29</v>
      </c>
      <c r="F124">
        <v>9</v>
      </c>
      <c r="G124">
        <v>37</v>
      </c>
      <c r="H124" t="s">
        <v>11</v>
      </c>
      <c r="I124">
        <v>50.57</v>
      </c>
      <c r="J124" s="1" t="str">
        <f t="shared" si="3"/>
        <v>valid</v>
      </c>
      <c r="K124" t="e">
        <f t="shared" ca="1" si="4"/>
        <v>#NAME?</v>
      </c>
      <c r="L124" t="str">
        <f>IF(E124&gt;=80,"High Value","Normal")</f>
        <v>Normal</v>
      </c>
      <c r="M124" s="2" t="b">
        <f t="shared" si="5"/>
        <v>0</v>
      </c>
      <c r="N124" t="str">
        <f>VLOOKUP(A124,A123:H1123,8)</f>
        <v>Sports</v>
      </c>
    </row>
    <row r="125" spans="1:14" x14ac:dyDescent="0.35">
      <c r="A125">
        <v>124</v>
      </c>
      <c r="B125">
        <v>30</v>
      </c>
      <c r="C125" t="s">
        <v>16</v>
      </c>
      <c r="D125">
        <v>51454</v>
      </c>
      <c r="E125">
        <v>94</v>
      </c>
      <c r="F125">
        <v>8</v>
      </c>
      <c r="G125">
        <v>17</v>
      </c>
      <c r="H125" t="s">
        <v>14</v>
      </c>
      <c r="I125">
        <v>553.35</v>
      </c>
      <c r="J125" s="1" t="str">
        <f t="shared" si="3"/>
        <v>valid</v>
      </c>
      <c r="K125" t="e">
        <f t="shared" ca="1" si="4"/>
        <v>#NAME?</v>
      </c>
      <c r="L125" t="str">
        <f>IF(E125&gt;=80,"High Value","Normal")</f>
        <v>High Value</v>
      </c>
      <c r="M125" s="2" t="b">
        <f t="shared" si="5"/>
        <v>0</v>
      </c>
      <c r="N125" t="str">
        <f>VLOOKUP(A125,A124:H1124,8)</f>
        <v>Home &amp; Garden</v>
      </c>
    </row>
    <row r="126" spans="1:14" x14ac:dyDescent="0.35">
      <c r="A126">
        <v>125</v>
      </c>
      <c r="B126">
        <v>66</v>
      </c>
      <c r="C126" t="s">
        <v>13</v>
      </c>
      <c r="D126">
        <v>69362</v>
      </c>
      <c r="E126">
        <v>58</v>
      </c>
      <c r="F126">
        <v>1</v>
      </c>
      <c r="G126">
        <v>23</v>
      </c>
      <c r="H126" t="s">
        <v>12</v>
      </c>
      <c r="I126">
        <v>960.08</v>
      </c>
      <c r="J126" s="1" t="str">
        <f t="shared" si="3"/>
        <v>valid</v>
      </c>
      <c r="K126" t="e">
        <f t="shared" ca="1" si="4"/>
        <v>#NAME?</v>
      </c>
      <c r="L126" t="str">
        <f>IF(E126&gt;=80,"High Value","Normal")</f>
        <v>Normal</v>
      </c>
      <c r="M126" s="2" t="str">
        <f t="shared" si="5"/>
        <v>YES</v>
      </c>
      <c r="N126" t="str">
        <f>VLOOKUP(A126,A125:H1125,8)</f>
        <v>Clothing</v>
      </c>
    </row>
    <row r="127" spans="1:14" x14ac:dyDescent="0.35">
      <c r="A127">
        <v>126</v>
      </c>
      <c r="B127">
        <v>26</v>
      </c>
      <c r="C127" t="s">
        <v>9</v>
      </c>
      <c r="D127">
        <v>69795</v>
      </c>
      <c r="E127">
        <v>60</v>
      </c>
      <c r="F127">
        <v>9</v>
      </c>
      <c r="G127">
        <v>29</v>
      </c>
      <c r="H127" t="s">
        <v>15</v>
      </c>
      <c r="I127">
        <v>389.37</v>
      </c>
      <c r="J127" s="1" t="str">
        <f t="shared" si="3"/>
        <v>valid</v>
      </c>
      <c r="K127" t="e">
        <f t="shared" ca="1" si="4"/>
        <v>#NAME?</v>
      </c>
      <c r="L127" t="str">
        <f>IF(E127&gt;=80,"High Value","Normal")</f>
        <v>Normal</v>
      </c>
      <c r="M127" s="2" t="b">
        <f t="shared" si="5"/>
        <v>0</v>
      </c>
      <c r="N127" t="str">
        <f>VLOOKUP(A127,A126:H1126,8)</f>
        <v>Electronics</v>
      </c>
    </row>
    <row r="128" spans="1:14" x14ac:dyDescent="0.35">
      <c r="A128">
        <v>127</v>
      </c>
      <c r="B128">
        <v>58</v>
      </c>
      <c r="C128" t="s">
        <v>16</v>
      </c>
      <c r="D128">
        <v>32860</v>
      </c>
      <c r="E128">
        <v>90</v>
      </c>
      <c r="F128">
        <v>5</v>
      </c>
      <c r="G128">
        <v>18</v>
      </c>
      <c r="H128" t="s">
        <v>11</v>
      </c>
      <c r="I128">
        <v>405.05</v>
      </c>
      <c r="J128" s="1" t="str">
        <f t="shared" si="3"/>
        <v>valid</v>
      </c>
      <c r="K128" t="e">
        <f t="shared" ca="1" si="4"/>
        <v>#NAME?</v>
      </c>
      <c r="L128" t="str">
        <f>IF(E128&gt;=80,"High Value","Normal")</f>
        <v>High Value</v>
      </c>
      <c r="M128" s="2" t="b">
        <f t="shared" si="5"/>
        <v>0</v>
      </c>
      <c r="N128" t="str">
        <f>VLOOKUP(A128,A127:H1127,8)</f>
        <v>Sports</v>
      </c>
    </row>
    <row r="129" spans="1:14" x14ac:dyDescent="0.35">
      <c r="A129">
        <v>128</v>
      </c>
      <c r="B129">
        <v>40</v>
      </c>
      <c r="C129" t="s">
        <v>13</v>
      </c>
      <c r="D129">
        <v>81037</v>
      </c>
      <c r="E129">
        <v>70</v>
      </c>
      <c r="F129">
        <v>10</v>
      </c>
      <c r="G129">
        <v>45</v>
      </c>
      <c r="H129" t="s">
        <v>15</v>
      </c>
      <c r="I129">
        <v>370.75</v>
      </c>
      <c r="J129" s="1" t="str">
        <f t="shared" si="3"/>
        <v>valid</v>
      </c>
      <c r="K129" t="e">
        <f t="shared" ca="1" si="4"/>
        <v>#NAME?</v>
      </c>
      <c r="L129" t="str">
        <f>IF(E129&gt;=80,"High Value","Normal")</f>
        <v>Normal</v>
      </c>
      <c r="M129" s="2" t="str">
        <f t="shared" si="5"/>
        <v>YES</v>
      </c>
      <c r="N129" t="str">
        <f>VLOOKUP(A129,A128:H1128,8)</f>
        <v>Electronics</v>
      </c>
    </row>
    <row r="130" spans="1:14" x14ac:dyDescent="0.35">
      <c r="A130">
        <v>129</v>
      </c>
      <c r="B130">
        <v>67</v>
      </c>
      <c r="C130" t="s">
        <v>13</v>
      </c>
      <c r="D130">
        <v>40385</v>
      </c>
      <c r="E130">
        <v>64</v>
      </c>
      <c r="F130">
        <v>1</v>
      </c>
      <c r="G130">
        <v>17</v>
      </c>
      <c r="H130" t="s">
        <v>11</v>
      </c>
      <c r="I130">
        <v>957.06</v>
      </c>
      <c r="J130" s="1" t="str">
        <f t="shared" si="3"/>
        <v>valid</v>
      </c>
      <c r="K130" t="e">
        <f t="shared" ca="1" si="4"/>
        <v>#NAME?</v>
      </c>
      <c r="L130" t="str">
        <f>IF(E130&gt;=80,"High Value","Normal")</f>
        <v>Normal</v>
      </c>
      <c r="M130" s="2" t="b">
        <f t="shared" si="5"/>
        <v>0</v>
      </c>
      <c r="N130" t="str">
        <f>VLOOKUP(A130,A129:H1129,8)</f>
        <v>Sports</v>
      </c>
    </row>
    <row r="131" spans="1:14" x14ac:dyDescent="0.35">
      <c r="A131">
        <v>130</v>
      </c>
      <c r="B131">
        <v>61</v>
      </c>
      <c r="C131" t="s">
        <v>9</v>
      </c>
      <c r="D131">
        <v>131607</v>
      </c>
      <c r="E131">
        <v>25</v>
      </c>
      <c r="F131">
        <v>7</v>
      </c>
      <c r="G131">
        <v>26</v>
      </c>
      <c r="H131" t="s">
        <v>12</v>
      </c>
      <c r="I131">
        <v>714.15</v>
      </c>
      <c r="J131" s="1" t="str">
        <f t="shared" ref="J131:J194" si="6">IF(AND(B131&gt;=18, B131&lt;=100), "valid", "invalid")</f>
        <v>valid</v>
      </c>
      <c r="K131" t="e">
        <f t="shared" ref="K131:K194" ca="1" si="7">IFS(OR(C131= "Female",C131="female",C131= "F"), "Female", OR(C131="Male", C131="male",C131= "M"), "Male", TRUE, "Other")</f>
        <v>#NAME?</v>
      </c>
      <c r="L131" t="str">
        <f>IF(E131&gt;=80,"High Value","Normal")</f>
        <v>Normal</v>
      </c>
      <c r="M131" s="2" t="str">
        <f t="shared" ref="M131:M194" si="8">IF(AND(B131&gt;30,G131&gt;20), "YES")</f>
        <v>YES</v>
      </c>
      <c r="N131" t="str">
        <f>VLOOKUP(A131,A130:H1130,8)</f>
        <v>Clothing</v>
      </c>
    </row>
    <row r="132" spans="1:14" x14ac:dyDescent="0.35">
      <c r="A132">
        <v>131</v>
      </c>
      <c r="B132">
        <v>51</v>
      </c>
      <c r="C132" t="s">
        <v>16</v>
      </c>
      <c r="D132">
        <v>42337</v>
      </c>
      <c r="E132">
        <v>70</v>
      </c>
      <c r="F132">
        <v>9</v>
      </c>
      <c r="G132">
        <v>28</v>
      </c>
      <c r="H132" t="s">
        <v>11</v>
      </c>
      <c r="I132">
        <v>914.97</v>
      </c>
      <c r="J132" s="1" t="str">
        <f t="shared" si="6"/>
        <v>valid</v>
      </c>
      <c r="K132" t="e">
        <f t="shared" ca="1" si="7"/>
        <v>#NAME?</v>
      </c>
      <c r="L132" t="str">
        <f>IF(E132&gt;=80,"High Value","Normal")</f>
        <v>Normal</v>
      </c>
      <c r="M132" s="2" t="str">
        <f t="shared" si="8"/>
        <v>YES</v>
      </c>
      <c r="N132" t="str">
        <f>VLOOKUP(A132,A131:H1131,8)</f>
        <v>Sports</v>
      </c>
    </row>
    <row r="133" spans="1:14" x14ac:dyDescent="0.35">
      <c r="A133">
        <v>132</v>
      </c>
      <c r="B133">
        <v>67</v>
      </c>
      <c r="C133" t="s">
        <v>9</v>
      </c>
      <c r="D133">
        <v>116124</v>
      </c>
      <c r="E133">
        <v>78</v>
      </c>
      <c r="F133">
        <v>10</v>
      </c>
      <c r="G133">
        <v>28</v>
      </c>
      <c r="H133" t="s">
        <v>14</v>
      </c>
      <c r="I133">
        <v>11.29</v>
      </c>
      <c r="J133" s="1" t="str">
        <f t="shared" si="6"/>
        <v>valid</v>
      </c>
      <c r="K133" t="e">
        <f t="shared" ca="1" si="7"/>
        <v>#NAME?</v>
      </c>
      <c r="L133" t="str">
        <f>IF(E133&gt;=80,"High Value","Normal")</f>
        <v>Normal</v>
      </c>
      <c r="M133" s="2" t="str">
        <f t="shared" si="8"/>
        <v>YES</v>
      </c>
      <c r="N133" t="str">
        <f>VLOOKUP(A133,A132:H1132,8)</f>
        <v>Home &amp; Garden</v>
      </c>
    </row>
    <row r="134" spans="1:14" x14ac:dyDescent="0.35">
      <c r="A134">
        <v>133</v>
      </c>
      <c r="B134">
        <v>25</v>
      </c>
      <c r="C134" t="s">
        <v>13</v>
      </c>
      <c r="D134">
        <v>94016</v>
      </c>
      <c r="E134">
        <v>85</v>
      </c>
      <c r="F134">
        <v>8</v>
      </c>
      <c r="G134">
        <v>49</v>
      </c>
      <c r="H134" t="s">
        <v>10</v>
      </c>
      <c r="I134">
        <v>764.28</v>
      </c>
      <c r="J134" s="1" t="str">
        <f t="shared" si="6"/>
        <v>valid</v>
      </c>
      <c r="K134" t="e">
        <f t="shared" ca="1" si="7"/>
        <v>#NAME?</v>
      </c>
      <c r="L134" t="str">
        <f>IF(E134&gt;=80,"High Value","Normal")</f>
        <v>High Value</v>
      </c>
      <c r="M134" s="2" t="b">
        <f t="shared" si="8"/>
        <v>0</v>
      </c>
      <c r="N134" t="str">
        <f>VLOOKUP(A134,A133:H1133,8)</f>
        <v>Groceries</v>
      </c>
    </row>
    <row r="135" spans="1:14" x14ac:dyDescent="0.35">
      <c r="A135">
        <v>134</v>
      </c>
      <c r="B135">
        <v>26</v>
      </c>
      <c r="C135" t="s">
        <v>16</v>
      </c>
      <c r="D135">
        <v>62131</v>
      </c>
      <c r="E135">
        <v>91</v>
      </c>
      <c r="F135">
        <v>6</v>
      </c>
      <c r="G135">
        <v>18</v>
      </c>
      <c r="H135" t="s">
        <v>11</v>
      </c>
      <c r="I135">
        <v>70.56</v>
      </c>
      <c r="J135" s="1" t="str">
        <f t="shared" si="6"/>
        <v>valid</v>
      </c>
      <c r="K135" t="e">
        <f t="shared" ca="1" si="7"/>
        <v>#NAME?</v>
      </c>
      <c r="L135" t="str">
        <f>IF(E135&gt;=80,"High Value","Normal")</f>
        <v>High Value</v>
      </c>
      <c r="M135" s="2" t="b">
        <f t="shared" si="8"/>
        <v>0</v>
      </c>
      <c r="N135" t="str">
        <f>VLOOKUP(A135,A134:H1134,8)</f>
        <v>Sports</v>
      </c>
    </row>
    <row r="136" spans="1:14" x14ac:dyDescent="0.35">
      <c r="A136">
        <v>135</v>
      </c>
      <c r="B136">
        <v>29</v>
      </c>
      <c r="C136" t="s">
        <v>9</v>
      </c>
      <c r="D136">
        <v>100290</v>
      </c>
      <c r="E136">
        <v>85</v>
      </c>
      <c r="F136">
        <v>8</v>
      </c>
      <c r="G136">
        <v>29</v>
      </c>
      <c r="H136" t="s">
        <v>12</v>
      </c>
      <c r="I136">
        <v>480.87</v>
      </c>
      <c r="J136" s="1" t="str">
        <f t="shared" si="6"/>
        <v>valid</v>
      </c>
      <c r="K136" t="e">
        <f t="shared" ca="1" si="7"/>
        <v>#NAME?</v>
      </c>
      <c r="L136" t="str">
        <f>IF(E136&gt;=80,"High Value","Normal")</f>
        <v>High Value</v>
      </c>
      <c r="M136" s="2" t="b">
        <f t="shared" si="8"/>
        <v>0</v>
      </c>
      <c r="N136" t="str">
        <f>VLOOKUP(A136,A135:H1135,8)</f>
        <v>Clothing</v>
      </c>
    </row>
    <row r="137" spans="1:14" x14ac:dyDescent="0.35">
      <c r="A137">
        <v>136</v>
      </c>
      <c r="B137">
        <v>31</v>
      </c>
      <c r="C137" t="s">
        <v>16</v>
      </c>
      <c r="D137">
        <v>145261</v>
      </c>
      <c r="E137">
        <v>25</v>
      </c>
      <c r="F137">
        <v>10</v>
      </c>
      <c r="G137">
        <v>37</v>
      </c>
      <c r="H137" t="s">
        <v>11</v>
      </c>
      <c r="I137">
        <v>378.4</v>
      </c>
      <c r="J137" s="1" t="str">
        <f t="shared" si="6"/>
        <v>valid</v>
      </c>
      <c r="K137" t="e">
        <f t="shared" ca="1" si="7"/>
        <v>#NAME?</v>
      </c>
      <c r="L137" t="str">
        <f>IF(E137&gt;=80,"High Value","Normal")</f>
        <v>Normal</v>
      </c>
      <c r="M137" s="2" t="str">
        <f t="shared" si="8"/>
        <v>YES</v>
      </c>
      <c r="N137" t="str">
        <f>VLOOKUP(A137,A136:H1136,8)</f>
        <v>Sports</v>
      </c>
    </row>
    <row r="138" spans="1:14" x14ac:dyDescent="0.35">
      <c r="A138">
        <v>137</v>
      </c>
      <c r="B138">
        <v>48</v>
      </c>
      <c r="C138" t="s">
        <v>16</v>
      </c>
      <c r="D138">
        <v>81763</v>
      </c>
      <c r="E138">
        <v>49</v>
      </c>
      <c r="F138">
        <v>6</v>
      </c>
      <c r="G138">
        <v>46</v>
      </c>
      <c r="H138" t="s">
        <v>11</v>
      </c>
      <c r="I138">
        <v>179.25</v>
      </c>
      <c r="J138" s="1" t="str">
        <f t="shared" si="6"/>
        <v>valid</v>
      </c>
      <c r="K138" t="e">
        <f t="shared" ca="1" si="7"/>
        <v>#NAME?</v>
      </c>
      <c r="L138" t="str">
        <f>IF(E138&gt;=80,"High Value","Normal")</f>
        <v>Normal</v>
      </c>
      <c r="M138" s="2" t="str">
        <f t="shared" si="8"/>
        <v>YES</v>
      </c>
      <c r="N138" t="str">
        <f>VLOOKUP(A138,A137:H1137,8)</f>
        <v>Sports</v>
      </c>
    </row>
    <row r="139" spans="1:14" x14ac:dyDescent="0.35">
      <c r="A139">
        <v>138</v>
      </c>
      <c r="B139">
        <v>67</v>
      </c>
      <c r="C139" t="s">
        <v>9</v>
      </c>
      <c r="D139">
        <v>120561</v>
      </c>
      <c r="E139">
        <v>66</v>
      </c>
      <c r="F139">
        <v>2</v>
      </c>
      <c r="G139">
        <v>21</v>
      </c>
      <c r="H139" t="s">
        <v>12</v>
      </c>
      <c r="I139">
        <v>798.2</v>
      </c>
      <c r="J139" s="1" t="str">
        <f t="shared" si="6"/>
        <v>valid</v>
      </c>
      <c r="K139" t="e">
        <f t="shared" ca="1" si="7"/>
        <v>#NAME?</v>
      </c>
      <c r="L139" t="str">
        <f>IF(E139&gt;=80,"High Value","Normal")</f>
        <v>Normal</v>
      </c>
      <c r="M139" s="2" t="str">
        <f t="shared" si="8"/>
        <v>YES</v>
      </c>
      <c r="N139" t="str">
        <f>VLOOKUP(A139,A138:H1138,8)</f>
        <v>Clothing</v>
      </c>
    </row>
    <row r="140" spans="1:14" x14ac:dyDescent="0.35">
      <c r="A140">
        <v>139</v>
      </c>
      <c r="B140">
        <v>18</v>
      </c>
      <c r="C140" t="s">
        <v>9</v>
      </c>
      <c r="D140">
        <v>99638</v>
      </c>
      <c r="E140">
        <v>33</v>
      </c>
      <c r="F140">
        <v>8</v>
      </c>
      <c r="G140">
        <v>23</v>
      </c>
      <c r="H140" t="s">
        <v>10</v>
      </c>
      <c r="I140">
        <v>316.27</v>
      </c>
      <c r="J140" s="1" t="str">
        <f t="shared" si="6"/>
        <v>valid</v>
      </c>
      <c r="K140" t="e">
        <f t="shared" ca="1" si="7"/>
        <v>#NAME?</v>
      </c>
      <c r="L140" t="str">
        <f>IF(E140&gt;=80,"High Value","Normal")</f>
        <v>Normal</v>
      </c>
      <c r="M140" s="2" t="b">
        <f t="shared" si="8"/>
        <v>0</v>
      </c>
      <c r="N140" t="str">
        <f>VLOOKUP(A140,A139:H1139,8)</f>
        <v>Groceries</v>
      </c>
    </row>
    <row r="141" spans="1:14" x14ac:dyDescent="0.35">
      <c r="A141">
        <v>140</v>
      </c>
      <c r="B141">
        <v>18</v>
      </c>
      <c r="C141" t="s">
        <v>9</v>
      </c>
      <c r="D141">
        <v>78097</v>
      </c>
      <c r="E141">
        <v>84</v>
      </c>
      <c r="F141">
        <v>3</v>
      </c>
      <c r="G141">
        <v>26</v>
      </c>
      <c r="H141" t="s">
        <v>12</v>
      </c>
      <c r="I141">
        <v>453.34</v>
      </c>
      <c r="J141" s="1" t="str">
        <f t="shared" si="6"/>
        <v>valid</v>
      </c>
      <c r="K141" t="e">
        <f t="shared" ca="1" si="7"/>
        <v>#NAME?</v>
      </c>
      <c r="L141" t="str">
        <f>IF(E141&gt;=80,"High Value","Normal")</f>
        <v>High Value</v>
      </c>
      <c r="M141" s="2" t="b">
        <f t="shared" si="8"/>
        <v>0</v>
      </c>
      <c r="N141" t="str">
        <f>VLOOKUP(A141,A140:H1140,8)</f>
        <v>Clothing</v>
      </c>
    </row>
    <row r="142" spans="1:14" x14ac:dyDescent="0.35">
      <c r="A142">
        <v>141</v>
      </c>
      <c r="B142">
        <v>23</v>
      </c>
      <c r="C142" t="s">
        <v>13</v>
      </c>
      <c r="D142">
        <v>67237</v>
      </c>
      <c r="E142">
        <v>85</v>
      </c>
      <c r="F142">
        <v>9</v>
      </c>
      <c r="G142">
        <v>40</v>
      </c>
      <c r="H142" t="s">
        <v>15</v>
      </c>
      <c r="I142">
        <v>673.02</v>
      </c>
      <c r="J142" s="1" t="str">
        <f t="shared" si="6"/>
        <v>valid</v>
      </c>
      <c r="K142" t="e">
        <f t="shared" ca="1" si="7"/>
        <v>#NAME?</v>
      </c>
      <c r="L142" t="str">
        <f>IF(E142&gt;=80,"High Value","Normal")</f>
        <v>High Value</v>
      </c>
      <c r="M142" s="2" t="b">
        <f t="shared" si="8"/>
        <v>0</v>
      </c>
      <c r="N142" t="str">
        <f>VLOOKUP(A142,A141:H1141,8)</f>
        <v>Electronics</v>
      </c>
    </row>
    <row r="143" spans="1:14" x14ac:dyDescent="0.35">
      <c r="A143">
        <v>142</v>
      </c>
      <c r="B143">
        <v>37</v>
      </c>
      <c r="C143" t="s">
        <v>16</v>
      </c>
      <c r="D143">
        <v>61695</v>
      </c>
      <c r="E143">
        <v>13</v>
      </c>
      <c r="F143">
        <v>5</v>
      </c>
      <c r="G143">
        <v>45</v>
      </c>
      <c r="H143" t="s">
        <v>14</v>
      </c>
      <c r="I143">
        <v>18.489999999999998</v>
      </c>
      <c r="J143" s="1" t="str">
        <f t="shared" si="6"/>
        <v>valid</v>
      </c>
      <c r="K143" t="e">
        <f t="shared" ca="1" si="7"/>
        <v>#NAME?</v>
      </c>
      <c r="L143" t="str">
        <f>IF(E143&gt;=80,"High Value","Normal")</f>
        <v>Normal</v>
      </c>
      <c r="M143" s="2" t="str">
        <f t="shared" si="8"/>
        <v>YES</v>
      </c>
      <c r="N143" t="str">
        <f>VLOOKUP(A143,A142:H1142,8)</f>
        <v>Home &amp; Garden</v>
      </c>
    </row>
    <row r="144" spans="1:14" x14ac:dyDescent="0.35">
      <c r="A144">
        <v>143</v>
      </c>
      <c r="B144">
        <v>55</v>
      </c>
      <c r="C144" t="s">
        <v>13</v>
      </c>
      <c r="D144">
        <v>101084</v>
      </c>
      <c r="E144">
        <v>73</v>
      </c>
      <c r="F144">
        <v>9</v>
      </c>
      <c r="G144">
        <v>24</v>
      </c>
      <c r="H144" t="s">
        <v>10</v>
      </c>
      <c r="I144">
        <v>624.80999999999995</v>
      </c>
      <c r="J144" s="1" t="str">
        <f t="shared" si="6"/>
        <v>valid</v>
      </c>
      <c r="K144" t="e">
        <f t="shared" ca="1" si="7"/>
        <v>#NAME?</v>
      </c>
      <c r="L144" t="str">
        <f>IF(E144&gt;=80,"High Value","Normal")</f>
        <v>Normal</v>
      </c>
      <c r="M144" s="2" t="str">
        <f t="shared" si="8"/>
        <v>YES</v>
      </c>
      <c r="N144" t="str">
        <f>VLOOKUP(A144,A143:H1143,8)</f>
        <v>Groceries</v>
      </c>
    </row>
    <row r="145" spans="1:14" x14ac:dyDescent="0.35">
      <c r="A145">
        <v>144</v>
      </c>
      <c r="B145">
        <v>41</v>
      </c>
      <c r="C145" t="s">
        <v>9</v>
      </c>
      <c r="D145">
        <v>82613</v>
      </c>
      <c r="E145">
        <v>49</v>
      </c>
      <c r="F145">
        <v>3</v>
      </c>
      <c r="G145">
        <v>10</v>
      </c>
      <c r="H145" t="s">
        <v>14</v>
      </c>
      <c r="I145">
        <v>421.24</v>
      </c>
      <c r="J145" s="1" t="str">
        <f t="shared" si="6"/>
        <v>valid</v>
      </c>
      <c r="K145" t="e">
        <f t="shared" ca="1" si="7"/>
        <v>#NAME?</v>
      </c>
      <c r="L145" t="str">
        <f>IF(E145&gt;=80,"High Value","Normal")</f>
        <v>Normal</v>
      </c>
      <c r="M145" s="2" t="b">
        <f t="shared" si="8"/>
        <v>0</v>
      </c>
      <c r="N145" t="str">
        <f>VLOOKUP(A145,A144:H1144,8)</f>
        <v>Home &amp; Garden</v>
      </c>
    </row>
    <row r="146" spans="1:14" x14ac:dyDescent="0.35">
      <c r="A146">
        <v>145</v>
      </c>
      <c r="B146">
        <v>44</v>
      </c>
      <c r="C146" t="s">
        <v>13</v>
      </c>
      <c r="D146">
        <v>122987</v>
      </c>
      <c r="E146">
        <v>29</v>
      </c>
      <c r="F146">
        <v>10</v>
      </c>
      <c r="G146">
        <v>25</v>
      </c>
      <c r="H146" t="s">
        <v>15</v>
      </c>
      <c r="I146">
        <v>898.68</v>
      </c>
      <c r="J146" s="1" t="str">
        <f t="shared" si="6"/>
        <v>valid</v>
      </c>
      <c r="K146" t="e">
        <f t="shared" ca="1" si="7"/>
        <v>#NAME?</v>
      </c>
      <c r="L146" t="str">
        <f>IF(E146&gt;=80,"High Value","Normal")</f>
        <v>Normal</v>
      </c>
      <c r="M146" s="2" t="str">
        <f t="shared" si="8"/>
        <v>YES</v>
      </c>
      <c r="N146" t="str">
        <f>VLOOKUP(A146,A145:H1145,8)</f>
        <v>Electronics</v>
      </c>
    </row>
    <row r="147" spans="1:14" x14ac:dyDescent="0.35">
      <c r="A147">
        <v>146</v>
      </c>
      <c r="B147">
        <v>58</v>
      </c>
      <c r="C147" t="s">
        <v>13</v>
      </c>
      <c r="D147">
        <v>90389</v>
      </c>
      <c r="E147">
        <v>17</v>
      </c>
      <c r="F147">
        <v>5</v>
      </c>
      <c r="G147">
        <v>12</v>
      </c>
      <c r="H147" t="s">
        <v>15</v>
      </c>
      <c r="I147">
        <v>855.21</v>
      </c>
      <c r="J147" s="1" t="str">
        <f t="shared" si="6"/>
        <v>valid</v>
      </c>
      <c r="K147" t="e">
        <f t="shared" ca="1" si="7"/>
        <v>#NAME?</v>
      </c>
      <c r="L147" t="str">
        <f>IF(E147&gt;=80,"High Value","Normal")</f>
        <v>Normal</v>
      </c>
      <c r="M147" s="2" t="b">
        <f t="shared" si="8"/>
        <v>0</v>
      </c>
      <c r="N147" t="str">
        <f>VLOOKUP(A147,A146:H1146,8)</f>
        <v>Electronics</v>
      </c>
    </row>
    <row r="148" spans="1:14" x14ac:dyDescent="0.35">
      <c r="A148">
        <v>147</v>
      </c>
      <c r="B148">
        <v>69</v>
      </c>
      <c r="C148" t="s">
        <v>16</v>
      </c>
      <c r="D148">
        <v>90929</v>
      </c>
      <c r="E148">
        <v>2</v>
      </c>
      <c r="F148">
        <v>10</v>
      </c>
      <c r="G148">
        <v>29</v>
      </c>
      <c r="H148" t="s">
        <v>15</v>
      </c>
      <c r="I148">
        <v>518.70000000000005</v>
      </c>
      <c r="J148" s="1" t="str">
        <f t="shared" si="6"/>
        <v>valid</v>
      </c>
      <c r="K148" t="e">
        <f t="shared" ca="1" si="7"/>
        <v>#NAME?</v>
      </c>
      <c r="L148" t="str">
        <f>IF(E148&gt;=80,"High Value","Normal")</f>
        <v>Normal</v>
      </c>
      <c r="M148" s="2" t="str">
        <f t="shared" si="8"/>
        <v>YES</v>
      </c>
      <c r="N148" t="str">
        <f>VLOOKUP(A148,A147:H1147,8)</f>
        <v>Electronics</v>
      </c>
    </row>
    <row r="149" spans="1:14" x14ac:dyDescent="0.35">
      <c r="A149">
        <v>148</v>
      </c>
      <c r="B149">
        <v>47</v>
      </c>
      <c r="C149" t="s">
        <v>9</v>
      </c>
      <c r="D149">
        <v>104517</v>
      </c>
      <c r="E149">
        <v>91</v>
      </c>
      <c r="F149">
        <v>2</v>
      </c>
      <c r="G149">
        <v>6</v>
      </c>
      <c r="H149" t="s">
        <v>14</v>
      </c>
      <c r="I149">
        <v>979.41</v>
      </c>
      <c r="J149" s="1" t="str">
        <f t="shared" si="6"/>
        <v>valid</v>
      </c>
      <c r="K149" t="e">
        <f t="shared" ca="1" si="7"/>
        <v>#NAME?</v>
      </c>
      <c r="L149" t="str">
        <f>IF(E149&gt;=80,"High Value","Normal")</f>
        <v>High Value</v>
      </c>
      <c r="M149" s="2" t="b">
        <f t="shared" si="8"/>
        <v>0</v>
      </c>
      <c r="N149" t="str">
        <f>VLOOKUP(A149,A148:H1148,8)</f>
        <v>Home &amp; Garden</v>
      </c>
    </row>
    <row r="150" spans="1:14" x14ac:dyDescent="0.35">
      <c r="A150">
        <v>149</v>
      </c>
      <c r="B150">
        <v>34</v>
      </c>
      <c r="C150" t="s">
        <v>13</v>
      </c>
      <c r="D150">
        <v>79949</v>
      </c>
      <c r="E150">
        <v>89</v>
      </c>
      <c r="F150">
        <v>3</v>
      </c>
      <c r="G150">
        <v>19</v>
      </c>
      <c r="H150" t="s">
        <v>10</v>
      </c>
      <c r="I150">
        <v>273.33999999999997</v>
      </c>
      <c r="J150" s="1" t="str">
        <f t="shared" si="6"/>
        <v>valid</v>
      </c>
      <c r="K150" t="e">
        <f t="shared" ca="1" si="7"/>
        <v>#NAME?</v>
      </c>
      <c r="L150" t="str">
        <f>IF(E150&gt;=80,"High Value","Normal")</f>
        <v>High Value</v>
      </c>
      <c r="M150" s="2" t="b">
        <f t="shared" si="8"/>
        <v>0</v>
      </c>
      <c r="N150" t="str">
        <f>VLOOKUP(A150,A149:H1149,8)</f>
        <v>Groceries</v>
      </c>
    </row>
    <row r="151" spans="1:14" x14ac:dyDescent="0.35">
      <c r="A151">
        <v>150</v>
      </c>
      <c r="B151">
        <v>54</v>
      </c>
      <c r="C151" t="s">
        <v>16</v>
      </c>
      <c r="D151">
        <v>100745</v>
      </c>
      <c r="E151">
        <v>29</v>
      </c>
      <c r="F151">
        <v>6</v>
      </c>
      <c r="G151">
        <v>42</v>
      </c>
      <c r="H151" t="s">
        <v>12</v>
      </c>
      <c r="I151">
        <v>335.15</v>
      </c>
      <c r="J151" s="1" t="str">
        <f t="shared" si="6"/>
        <v>valid</v>
      </c>
      <c r="K151" t="e">
        <f t="shared" ca="1" si="7"/>
        <v>#NAME?</v>
      </c>
      <c r="L151" t="str">
        <f>IF(E151&gt;=80,"High Value","Normal")</f>
        <v>Normal</v>
      </c>
      <c r="M151" s="2" t="str">
        <f t="shared" si="8"/>
        <v>YES</v>
      </c>
      <c r="N151" t="str">
        <f>VLOOKUP(A151,A150:H1150,8)</f>
        <v>Clothing</v>
      </c>
    </row>
    <row r="152" spans="1:14" x14ac:dyDescent="0.35">
      <c r="A152">
        <v>151</v>
      </c>
      <c r="B152">
        <v>55</v>
      </c>
      <c r="C152" t="s">
        <v>13</v>
      </c>
      <c r="D152">
        <v>138064</v>
      </c>
      <c r="E152">
        <v>86</v>
      </c>
      <c r="F152">
        <v>5</v>
      </c>
      <c r="G152">
        <v>22</v>
      </c>
      <c r="H152" t="s">
        <v>15</v>
      </c>
      <c r="I152">
        <v>368.75</v>
      </c>
      <c r="J152" s="1" t="str">
        <f t="shared" si="6"/>
        <v>valid</v>
      </c>
      <c r="K152" t="e">
        <f t="shared" ca="1" si="7"/>
        <v>#NAME?</v>
      </c>
      <c r="L152" t="str">
        <f>IF(E152&gt;=80,"High Value","Normal")</f>
        <v>High Value</v>
      </c>
      <c r="M152" s="2" t="str">
        <f t="shared" si="8"/>
        <v>YES</v>
      </c>
      <c r="N152" t="str">
        <f>VLOOKUP(A152,A151:H1151,8)</f>
        <v>Electronics</v>
      </c>
    </row>
    <row r="153" spans="1:14" x14ac:dyDescent="0.35">
      <c r="A153">
        <v>152</v>
      </c>
      <c r="B153">
        <v>45</v>
      </c>
      <c r="C153" t="s">
        <v>9</v>
      </c>
      <c r="D153">
        <v>79721</v>
      </c>
      <c r="E153">
        <v>20</v>
      </c>
      <c r="F153">
        <v>1</v>
      </c>
      <c r="G153">
        <v>1</v>
      </c>
      <c r="H153" t="s">
        <v>14</v>
      </c>
      <c r="I153">
        <v>215.41</v>
      </c>
      <c r="J153" s="1" t="str">
        <f t="shared" si="6"/>
        <v>valid</v>
      </c>
      <c r="K153" t="e">
        <f t="shared" ca="1" si="7"/>
        <v>#NAME?</v>
      </c>
      <c r="L153" t="str">
        <f>IF(E153&gt;=80,"High Value","Normal")</f>
        <v>Normal</v>
      </c>
      <c r="M153" s="2" t="b">
        <f t="shared" si="8"/>
        <v>0</v>
      </c>
      <c r="N153" t="str">
        <f>VLOOKUP(A153,A152:H1152,8)</f>
        <v>Home &amp; Garden</v>
      </c>
    </row>
    <row r="154" spans="1:14" x14ac:dyDescent="0.35">
      <c r="A154">
        <v>153</v>
      </c>
      <c r="B154">
        <v>43</v>
      </c>
      <c r="C154" t="s">
        <v>16</v>
      </c>
      <c r="D154">
        <v>33030</v>
      </c>
      <c r="E154">
        <v>61</v>
      </c>
      <c r="F154">
        <v>8</v>
      </c>
      <c r="G154">
        <v>40</v>
      </c>
      <c r="H154" t="s">
        <v>10</v>
      </c>
      <c r="I154">
        <v>711.04</v>
      </c>
      <c r="J154" s="1" t="str">
        <f t="shared" si="6"/>
        <v>valid</v>
      </c>
      <c r="K154" t="e">
        <f t="shared" ca="1" si="7"/>
        <v>#NAME?</v>
      </c>
      <c r="L154" t="str">
        <f>IF(E154&gt;=80,"High Value","Normal")</f>
        <v>Normal</v>
      </c>
      <c r="M154" s="2" t="str">
        <f t="shared" si="8"/>
        <v>YES</v>
      </c>
      <c r="N154" t="str">
        <f>VLOOKUP(A154,A153:H1153,8)</f>
        <v>Groceries</v>
      </c>
    </row>
    <row r="155" spans="1:14" x14ac:dyDescent="0.35">
      <c r="A155">
        <v>154</v>
      </c>
      <c r="B155">
        <v>30</v>
      </c>
      <c r="C155" t="s">
        <v>13</v>
      </c>
      <c r="D155">
        <v>78653</v>
      </c>
      <c r="E155">
        <v>43</v>
      </c>
      <c r="F155">
        <v>4</v>
      </c>
      <c r="G155">
        <v>2</v>
      </c>
      <c r="H155" t="s">
        <v>15</v>
      </c>
      <c r="I155">
        <v>933.73</v>
      </c>
      <c r="J155" s="1" t="str">
        <f t="shared" si="6"/>
        <v>valid</v>
      </c>
      <c r="K155" t="e">
        <f t="shared" ca="1" si="7"/>
        <v>#NAME?</v>
      </c>
      <c r="L155" t="str">
        <f>IF(E155&gt;=80,"High Value","Normal")</f>
        <v>Normal</v>
      </c>
      <c r="M155" s="2" t="b">
        <f t="shared" si="8"/>
        <v>0</v>
      </c>
      <c r="N155" t="str">
        <f>VLOOKUP(A155,A154:H1154,8)</f>
        <v>Electronics</v>
      </c>
    </row>
    <row r="156" spans="1:14" x14ac:dyDescent="0.35">
      <c r="A156">
        <v>155</v>
      </c>
      <c r="B156">
        <v>53</v>
      </c>
      <c r="C156" t="s">
        <v>13</v>
      </c>
      <c r="D156">
        <v>146312</v>
      </c>
      <c r="E156">
        <v>58</v>
      </c>
      <c r="F156">
        <v>2</v>
      </c>
      <c r="G156">
        <v>32</v>
      </c>
      <c r="H156" t="s">
        <v>15</v>
      </c>
      <c r="I156">
        <v>880.78</v>
      </c>
      <c r="J156" s="1" t="str">
        <f t="shared" si="6"/>
        <v>valid</v>
      </c>
      <c r="K156" t="e">
        <f t="shared" ca="1" si="7"/>
        <v>#NAME?</v>
      </c>
      <c r="L156" t="str">
        <f>IF(E156&gt;=80,"High Value","Normal")</f>
        <v>Normal</v>
      </c>
      <c r="M156" s="2" t="str">
        <f t="shared" si="8"/>
        <v>YES</v>
      </c>
      <c r="N156" t="str">
        <f>VLOOKUP(A156,A155:H1155,8)</f>
        <v>Electronics</v>
      </c>
    </row>
    <row r="157" spans="1:14" x14ac:dyDescent="0.35">
      <c r="A157">
        <v>156</v>
      </c>
      <c r="B157">
        <v>24</v>
      </c>
      <c r="C157" t="s">
        <v>9</v>
      </c>
      <c r="D157">
        <v>103766</v>
      </c>
      <c r="E157">
        <v>77</v>
      </c>
      <c r="F157">
        <v>4</v>
      </c>
      <c r="G157">
        <v>25</v>
      </c>
      <c r="H157" t="s">
        <v>14</v>
      </c>
      <c r="I157">
        <v>663.21</v>
      </c>
      <c r="J157" s="1" t="str">
        <f t="shared" si="6"/>
        <v>valid</v>
      </c>
      <c r="K157" t="e">
        <f t="shared" ca="1" si="7"/>
        <v>#NAME?</v>
      </c>
      <c r="L157" t="str">
        <f>IF(E157&gt;=80,"High Value","Normal")</f>
        <v>Normal</v>
      </c>
      <c r="M157" s="2" t="b">
        <f t="shared" si="8"/>
        <v>0</v>
      </c>
      <c r="N157" t="str">
        <f>VLOOKUP(A157,A156:H1156,8)</f>
        <v>Home &amp; Garden</v>
      </c>
    </row>
    <row r="158" spans="1:14" x14ac:dyDescent="0.35">
      <c r="A158">
        <v>157</v>
      </c>
      <c r="B158">
        <v>69</v>
      </c>
      <c r="C158" t="s">
        <v>9</v>
      </c>
      <c r="D158">
        <v>51990</v>
      </c>
      <c r="E158">
        <v>59</v>
      </c>
      <c r="F158">
        <v>2</v>
      </c>
      <c r="G158">
        <v>37</v>
      </c>
      <c r="H158" t="s">
        <v>12</v>
      </c>
      <c r="I158">
        <v>762.41</v>
      </c>
      <c r="J158" s="1" t="str">
        <f t="shared" si="6"/>
        <v>valid</v>
      </c>
      <c r="K158" t="e">
        <f t="shared" ca="1" si="7"/>
        <v>#NAME?</v>
      </c>
      <c r="L158" t="str">
        <f>IF(E158&gt;=80,"High Value","Normal")</f>
        <v>Normal</v>
      </c>
      <c r="M158" s="2" t="str">
        <f t="shared" si="8"/>
        <v>YES</v>
      </c>
      <c r="N158" t="str">
        <f>VLOOKUP(A158,A157:H1157,8)</f>
        <v>Clothing</v>
      </c>
    </row>
    <row r="159" spans="1:14" x14ac:dyDescent="0.35">
      <c r="A159">
        <v>158</v>
      </c>
      <c r="B159">
        <v>61</v>
      </c>
      <c r="C159" t="s">
        <v>13</v>
      </c>
      <c r="D159">
        <v>46738</v>
      </c>
      <c r="E159">
        <v>36</v>
      </c>
      <c r="F159">
        <v>3</v>
      </c>
      <c r="G159">
        <v>26</v>
      </c>
      <c r="H159" t="s">
        <v>10</v>
      </c>
      <c r="I159">
        <v>393.6</v>
      </c>
      <c r="J159" s="1" t="str">
        <f t="shared" si="6"/>
        <v>valid</v>
      </c>
      <c r="K159" t="e">
        <f t="shared" ca="1" si="7"/>
        <v>#NAME?</v>
      </c>
      <c r="L159" t="str">
        <f>IF(E159&gt;=80,"High Value","Normal")</f>
        <v>Normal</v>
      </c>
      <c r="M159" s="2" t="str">
        <f t="shared" si="8"/>
        <v>YES</v>
      </c>
      <c r="N159" t="str">
        <f>VLOOKUP(A159,A158:H1158,8)</f>
        <v>Groceries</v>
      </c>
    </row>
    <row r="160" spans="1:14" x14ac:dyDescent="0.35">
      <c r="A160">
        <v>159</v>
      </c>
      <c r="B160">
        <v>58</v>
      </c>
      <c r="C160" t="s">
        <v>13</v>
      </c>
      <c r="D160">
        <v>107818</v>
      </c>
      <c r="E160">
        <v>70</v>
      </c>
      <c r="F160">
        <v>5</v>
      </c>
      <c r="G160">
        <v>24</v>
      </c>
      <c r="H160" t="s">
        <v>14</v>
      </c>
      <c r="I160">
        <v>722.18</v>
      </c>
      <c r="J160" s="1" t="str">
        <f t="shared" si="6"/>
        <v>valid</v>
      </c>
      <c r="K160" t="e">
        <f t="shared" ca="1" si="7"/>
        <v>#NAME?</v>
      </c>
      <c r="L160" t="str">
        <f>IF(E160&gt;=80,"High Value","Normal")</f>
        <v>Normal</v>
      </c>
      <c r="M160" s="2" t="str">
        <f t="shared" si="8"/>
        <v>YES</v>
      </c>
      <c r="N160" t="str">
        <f>VLOOKUP(A160,A159:H1159,8)</f>
        <v>Home &amp; Garden</v>
      </c>
    </row>
    <row r="161" spans="1:14" x14ac:dyDescent="0.35">
      <c r="A161">
        <v>160</v>
      </c>
      <c r="B161">
        <v>36</v>
      </c>
      <c r="C161" t="s">
        <v>13</v>
      </c>
      <c r="D161">
        <v>83511</v>
      </c>
      <c r="E161">
        <v>28</v>
      </c>
      <c r="F161">
        <v>5</v>
      </c>
      <c r="G161">
        <v>49</v>
      </c>
      <c r="H161" t="s">
        <v>14</v>
      </c>
      <c r="I161">
        <v>367.97</v>
      </c>
      <c r="J161" s="1" t="str">
        <f t="shared" si="6"/>
        <v>valid</v>
      </c>
      <c r="K161" t="e">
        <f t="shared" ca="1" si="7"/>
        <v>#NAME?</v>
      </c>
      <c r="L161" t="str">
        <f>IF(E161&gt;=80,"High Value","Normal")</f>
        <v>Normal</v>
      </c>
      <c r="M161" s="2" t="str">
        <f t="shared" si="8"/>
        <v>YES</v>
      </c>
      <c r="N161" t="str">
        <f>VLOOKUP(A161,A160:H1160,8)</f>
        <v>Home &amp; Garden</v>
      </c>
    </row>
    <row r="162" spans="1:14" x14ac:dyDescent="0.35">
      <c r="A162">
        <v>161</v>
      </c>
      <c r="B162">
        <v>69</v>
      </c>
      <c r="C162" t="s">
        <v>9</v>
      </c>
      <c r="D162">
        <v>117782</v>
      </c>
      <c r="E162">
        <v>18</v>
      </c>
      <c r="F162">
        <v>1</v>
      </c>
      <c r="G162">
        <v>15</v>
      </c>
      <c r="H162" t="s">
        <v>11</v>
      </c>
      <c r="I162">
        <v>762.55</v>
      </c>
      <c r="J162" s="1" t="str">
        <f t="shared" si="6"/>
        <v>valid</v>
      </c>
      <c r="K162" t="e">
        <f t="shared" ca="1" si="7"/>
        <v>#NAME?</v>
      </c>
      <c r="L162" t="str">
        <f>IF(E162&gt;=80,"High Value","Normal")</f>
        <v>Normal</v>
      </c>
      <c r="M162" s="2" t="b">
        <f t="shared" si="8"/>
        <v>0</v>
      </c>
      <c r="N162" t="str">
        <f>VLOOKUP(A162,A161:H1161,8)</f>
        <v>Sports</v>
      </c>
    </row>
    <row r="163" spans="1:14" x14ac:dyDescent="0.35">
      <c r="A163">
        <v>162</v>
      </c>
      <c r="B163">
        <v>64</v>
      </c>
      <c r="C163" t="s">
        <v>13</v>
      </c>
      <c r="D163">
        <v>122472</v>
      </c>
      <c r="E163">
        <v>75</v>
      </c>
      <c r="F163">
        <v>1</v>
      </c>
      <c r="G163">
        <v>17</v>
      </c>
      <c r="H163" t="s">
        <v>11</v>
      </c>
      <c r="I163">
        <v>771.33</v>
      </c>
      <c r="J163" s="1" t="str">
        <f t="shared" si="6"/>
        <v>valid</v>
      </c>
      <c r="K163" t="e">
        <f t="shared" ca="1" si="7"/>
        <v>#NAME?</v>
      </c>
      <c r="L163" t="str">
        <f>IF(E163&gt;=80,"High Value","Normal")</f>
        <v>Normal</v>
      </c>
      <c r="M163" s="2" t="b">
        <f t="shared" si="8"/>
        <v>0</v>
      </c>
      <c r="N163" t="str">
        <f>VLOOKUP(A163,A162:H1162,8)</f>
        <v>Sports</v>
      </c>
    </row>
    <row r="164" spans="1:14" x14ac:dyDescent="0.35">
      <c r="A164">
        <v>163</v>
      </c>
      <c r="B164">
        <v>45</v>
      </c>
      <c r="C164" t="s">
        <v>16</v>
      </c>
      <c r="D164">
        <v>76259</v>
      </c>
      <c r="E164">
        <v>72</v>
      </c>
      <c r="F164">
        <v>5</v>
      </c>
      <c r="G164">
        <v>41</v>
      </c>
      <c r="H164" t="s">
        <v>11</v>
      </c>
      <c r="I164">
        <v>228.88</v>
      </c>
      <c r="J164" s="1" t="str">
        <f t="shared" si="6"/>
        <v>valid</v>
      </c>
      <c r="K164" t="e">
        <f t="shared" ca="1" si="7"/>
        <v>#NAME?</v>
      </c>
      <c r="L164" t="str">
        <f>IF(E164&gt;=80,"High Value","Normal")</f>
        <v>Normal</v>
      </c>
      <c r="M164" s="2" t="str">
        <f t="shared" si="8"/>
        <v>YES</v>
      </c>
      <c r="N164" t="str">
        <f>VLOOKUP(A164,A163:H1163,8)</f>
        <v>Sports</v>
      </c>
    </row>
    <row r="165" spans="1:14" x14ac:dyDescent="0.35">
      <c r="A165">
        <v>164</v>
      </c>
      <c r="B165">
        <v>60</v>
      </c>
      <c r="C165" t="s">
        <v>13</v>
      </c>
      <c r="D165">
        <v>98771</v>
      </c>
      <c r="E165">
        <v>37</v>
      </c>
      <c r="F165">
        <v>8</v>
      </c>
      <c r="G165">
        <v>42</v>
      </c>
      <c r="H165" t="s">
        <v>11</v>
      </c>
      <c r="I165">
        <v>520.37</v>
      </c>
      <c r="J165" s="1" t="str">
        <f t="shared" si="6"/>
        <v>valid</v>
      </c>
      <c r="K165" t="e">
        <f t="shared" ca="1" si="7"/>
        <v>#NAME?</v>
      </c>
      <c r="L165" t="str">
        <f>IF(E165&gt;=80,"High Value","Normal")</f>
        <v>Normal</v>
      </c>
      <c r="M165" s="2" t="str">
        <f t="shared" si="8"/>
        <v>YES</v>
      </c>
      <c r="N165" t="str">
        <f>VLOOKUP(A165,A164:H1164,8)</f>
        <v>Sports</v>
      </c>
    </row>
    <row r="166" spans="1:14" x14ac:dyDescent="0.35">
      <c r="A166">
        <v>165</v>
      </c>
      <c r="B166">
        <v>64</v>
      </c>
      <c r="C166" t="s">
        <v>13</v>
      </c>
      <c r="D166">
        <v>96494</v>
      </c>
      <c r="E166">
        <v>10</v>
      </c>
      <c r="F166">
        <v>4</v>
      </c>
      <c r="G166">
        <v>47</v>
      </c>
      <c r="H166" t="s">
        <v>14</v>
      </c>
      <c r="I166">
        <v>184.45</v>
      </c>
      <c r="J166" s="1" t="str">
        <f t="shared" si="6"/>
        <v>valid</v>
      </c>
      <c r="K166" t="e">
        <f t="shared" ca="1" si="7"/>
        <v>#NAME?</v>
      </c>
      <c r="L166" t="str">
        <f>IF(E166&gt;=80,"High Value","Normal")</f>
        <v>Normal</v>
      </c>
      <c r="M166" s="2" t="str">
        <f t="shared" si="8"/>
        <v>YES</v>
      </c>
      <c r="N166" t="str">
        <f>VLOOKUP(A166,A165:H1165,8)</f>
        <v>Home &amp; Garden</v>
      </c>
    </row>
    <row r="167" spans="1:14" x14ac:dyDescent="0.35">
      <c r="A167">
        <v>166</v>
      </c>
      <c r="B167">
        <v>41</v>
      </c>
      <c r="C167" t="s">
        <v>9</v>
      </c>
      <c r="D167">
        <v>48155</v>
      </c>
      <c r="E167">
        <v>19</v>
      </c>
      <c r="F167">
        <v>10</v>
      </c>
      <c r="G167">
        <v>36</v>
      </c>
      <c r="H167" t="s">
        <v>10</v>
      </c>
      <c r="I167">
        <v>566.65</v>
      </c>
      <c r="J167" s="1" t="str">
        <f t="shared" si="6"/>
        <v>valid</v>
      </c>
      <c r="K167" t="e">
        <f t="shared" ca="1" si="7"/>
        <v>#NAME?</v>
      </c>
      <c r="L167" t="str">
        <f>IF(E167&gt;=80,"High Value","Normal")</f>
        <v>Normal</v>
      </c>
      <c r="M167" s="2" t="str">
        <f t="shared" si="8"/>
        <v>YES</v>
      </c>
      <c r="N167" t="str">
        <f>VLOOKUP(A167,A166:H1166,8)</f>
        <v>Groceries</v>
      </c>
    </row>
    <row r="168" spans="1:14" x14ac:dyDescent="0.35">
      <c r="A168">
        <v>167</v>
      </c>
      <c r="B168">
        <v>18</v>
      </c>
      <c r="C168" t="s">
        <v>13</v>
      </c>
      <c r="D168">
        <v>46707</v>
      </c>
      <c r="E168">
        <v>61</v>
      </c>
      <c r="F168">
        <v>10</v>
      </c>
      <c r="G168">
        <v>16</v>
      </c>
      <c r="H168" t="s">
        <v>12</v>
      </c>
      <c r="I168">
        <v>18.600000000000001</v>
      </c>
      <c r="J168" s="1" t="str">
        <f t="shared" si="6"/>
        <v>valid</v>
      </c>
      <c r="K168" t="e">
        <f t="shared" ca="1" si="7"/>
        <v>#NAME?</v>
      </c>
      <c r="L168" t="str">
        <f>IF(E168&gt;=80,"High Value","Normal")</f>
        <v>Normal</v>
      </c>
      <c r="M168" s="2" t="b">
        <f t="shared" si="8"/>
        <v>0</v>
      </c>
      <c r="N168" t="str">
        <f>VLOOKUP(A168,A167:H1167,8)</f>
        <v>Clothing</v>
      </c>
    </row>
    <row r="169" spans="1:14" x14ac:dyDescent="0.35">
      <c r="A169">
        <v>168</v>
      </c>
      <c r="B169">
        <v>36</v>
      </c>
      <c r="C169" t="s">
        <v>13</v>
      </c>
      <c r="D169">
        <v>87275</v>
      </c>
      <c r="E169">
        <v>82</v>
      </c>
      <c r="F169">
        <v>9</v>
      </c>
      <c r="G169">
        <v>2</v>
      </c>
      <c r="H169" t="s">
        <v>12</v>
      </c>
      <c r="I169">
        <v>14.52</v>
      </c>
      <c r="J169" s="1" t="str">
        <f t="shared" si="6"/>
        <v>valid</v>
      </c>
      <c r="K169" t="e">
        <f t="shared" ca="1" si="7"/>
        <v>#NAME?</v>
      </c>
      <c r="L169" t="str">
        <f>IF(E169&gt;=80,"High Value","Normal")</f>
        <v>High Value</v>
      </c>
      <c r="M169" s="2" t="b">
        <f t="shared" si="8"/>
        <v>0</v>
      </c>
      <c r="N169" t="str">
        <f>VLOOKUP(A169,A168:H1168,8)</f>
        <v>Clothing</v>
      </c>
    </row>
    <row r="170" spans="1:14" x14ac:dyDescent="0.35">
      <c r="A170">
        <v>169</v>
      </c>
      <c r="B170">
        <v>51</v>
      </c>
      <c r="C170" t="s">
        <v>9</v>
      </c>
      <c r="D170">
        <v>58930</v>
      </c>
      <c r="E170">
        <v>95</v>
      </c>
      <c r="F170">
        <v>5</v>
      </c>
      <c r="G170">
        <v>33</v>
      </c>
      <c r="H170" t="s">
        <v>11</v>
      </c>
      <c r="I170">
        <v>115.09</v>
      </c>
      <c r="J170" s="1" t="str">
        <f t="shared" si="6"/>
        <v>valid</v>
      </c>
      <c r="K170" t="e">
        <f t="shared" ca="1" si="7"/>
        <v>#NAME?</v>
      </c>
      <c r="L170" t="str">
        <f>IF(E170&gt;=80,"High Value","Normal")</f>
        <v>High Value</v>
      </c>
      <c r="M170" s="2" t="str">
        <f t="shared" si="8"/>
        <v>YES</v>
      </c>
      <c r="N170" t="str">
        <f>VLOOKUP(A170,A169:H1169,8)</f>
        <v>Sports</v>
      </c>
    </row>
    <row r="171" spans="1:14" x14ac:dyDescent="0.35">
      <c r="A171">
        <v>170</v>
      </c>
      <c r="B171">
        <v>37</v>
      </c>
      <c r="C171" t="s">
        <v>16</v>
      </c>
      <c r="D171">
        <v>33987</v>
      </c>
      <c r="E171">
        <v>60</v>
      </c>
      <c r="F171">
        <v>8</v>
      </c>
      <c r="G171">
        <v>39</v>
      </c>
      <c r="H171" t="s">
        <v>10</v>
      </c>
      <c r="I171">
        <v>975.1</v>
      </c>
      <c r="J171" s="1" t="str">
        <f t="shared" si="6"/>
        <v>valid</v>
      </c>
      <c r="K171" t="e">
        <f t="shared" ca="1" si="7"/>
        <v>#NAME?</v>
      </c>
      <c r="L171" t="str">
        <f>IF(E171&gt;=80,"High Value","Normal")</f>
        <v>Normal</v>
      </c>
      <c r="M171" s="2" t="str">
        <f t="shared" si="8"/>
        <v>YES</v>
      </c>
      <c r="N171" t="str">
        <f>VLOOKUP(A171,A170:H1170,8)</f>
        <v>Groceries</v>
      </c>
    </row>
    <row r="172" spans="1:14" x14ac:dyDescent="0.35">
      <c r="A172">
        <v>171</v>
      </c>
      <c r="B172">
        <v>21</v>
      </c>
      <c r="C172" t="s">
        <v>16</v>
      </c>
      <c r="D172">
        <v>140801</v>
      </c>
      <c r="E172">
        <v>13</v>
      </c>
      <c r="F172">
        <v>3</v>
      </c>
      <c r="G172">
        <v>43</v>
      </c>
      <c r="H172" t="s">
        <v>14</v>
      </c>
      <c r="I172">
        <v>82.88</v>
      </c>
      <c r="J172" s="1" t="str">
        <f t="shared" si="6"/>
        <v>valid</v>
      </c>
      <c r="K172" t="e">
        <f t="shared" ca="1" si="7"/>
        <v>#NAME?</v>
      </c>
      <c r="L172" t="str">
        <f>IF(E172&gt;=80,"High Value","Normal")</f>
        <v>Normal</v>
      </c>
      <c r="M172" s="2" t="b">
        <f t="shared" si="8"/>
        <v>0</v>
      </c>
      <c r="N172" t="str">
        <f>VLOOKUP(A172,A171:H1171,8)</f>
        <v>Home &amp; Garden</v>
      </c>
    </row>
    <row r="173" spans="1:14" x14ac:dyDescent="0.35">
      <c r="A173">
        <v>172</v>
      </c>
      <c r="B173">
        <v>19</v>
      </c>
      <c r="C173" t="s">
        <v>16</v>
      </c>
      <c r="D173">
        <v>98446</v>
      </c>
      <c r="E173">
        <v>25</v>
      </c>
      <c r="F173">
        <v>4</v>
      </c>
      <c r="G173">
        <v>34</v>
      </c>
      <c r="H173" t="s">
        <v>10</v>
      </c>
      <c r="I173">
        <v>696.59</v>
      </c>
      <c r="J173" s="1" t="str">
        <f t="shared" si="6"/>
        <v>valid</v>
      </c>
      <c r="K173" t="e">
        <f t="shared" ca="1" si="7"/>
        <v>#NAME?</v>
      </c>
      <c r="L173" t="str">
        <f>IF(E173&gt;=80,"High Value","Normal")</f>
        <v>Normal</v>
      </c>
      <c r="M173" s="2" t="b">
        <f t="shared" si="8"/>
        <v>0</v>
      </c>
      <c r="N173" t="str">
        <f>VLOOKUP(A173,A172:H1172,8)</f>
        <v>Groceries</v>
      </c>
    </row>
    <row r="174" spans="1:14" x14ac:dyDescent="0.35">
      <c r="A174">
        <v>173</v>
      </c>
      <c r="B174">
        <v>56</v>
      </c>
      <c r="C174" t="s">
        <v>9</v>
      </c>
      <c r="D174">
        <v>111754</v>
      </c>
      <c r="E174">
        <v>96</v>
      </c>
      <c r="F174">
        <v>8</v>
      </c>
      <c r="G174">
        <v>38</v>
      </c>
      <c r="H174" t="s">
        <v>14</v>
      </c>
      <c r="I174">
        <v>631.05999999999995</v>
      </c>
      <c r="J174" s="1" t="str">
        <f t="shared" si="6"/>
        <v>valid</v>
      </c>
      <c r="K174" t="e">
        <f t="shared" ca="1" si="7"/>
        <v>#NAME?</v>
      </c>
      <c r="L174" t="str">
        <f>IF(E174&gt;=80,"High Value","Normal")</f>
        <v>High Value</v>
      </c>
      <c r="M174" s="2" t="str">
        <f t="shared" si="8"/>
        <v>YES</v>
      </c>
      <c r="N174" t="str">
        <f>VLOOKUP(A174,A173:H1173,8)</f>
        <v>Home &amp; Garden</v>
      </c>
    </row>
    <row r="175" spans="1:14" x14ac:dyDescent="0.35">
      <c r="A175">
        <v>174</v>
      </c>
      <c r="B175">
        <v>47</v>
      </c>
      <c r="C175" t="s">
        <v>13</v>
      </c>
      <c r="D175">
        <v>66932</v>
      </c>
      <c r="E175">
        <v>89</v>
      </c>
      <c r="F175">
        <v>5</v>
      </c>
      <c r="G175">
        <v>9</v>
      </c>
      <c r="H175" t="s">
        <v>14</v>
      </c>
      <c r="I175">
        <v>861.66</v>
      </c>
      <c r="J175" s="1" t="str">
        <f t="shared" si="6"/>
        <v>valid</v>
      </c>
      <c r="K175" t="e">
        <f t="shared" ca="1" si="7"/>
        <v>#NAME?</v>
      </c>
      <c r="L175" t="str">
        <f>IF(E175&gt;=80,"High Value","Normal")</f>
        <v>High Value</v>
      </c>
      <c r="M175" s="2" t="b">
        <f t="shared" si="8"/>
        <v>0</v>
      </c>
      <c r="N175" t="str">
        <f>VLOOKUP(A175,A174:H1174,8)</f>
        <v>Home &amp; Garden</v>
      </c>
    </row>
    <row r="176" spans="1:14" x14ac:dyDescent="0.35">
      <c r="A176">
        <v>175</v>
      </c>
      <c r="B176">
        <v>33</v>
      </c>
      <c r="C176" t="s">
        <v>9</v>
      </c>
      <c r="D176">
        <v>81766</v>
      </c>
      <c r="E176">
        <v>86</v>
      </c>
      <c r="F176">
        <v>1</v>
      </c>
      <c r="G176">
        <v>16</v>
      </c>
      <c r="H176" t="s">
        <v>11</v>
      </c>
      <c r="I176">
        <v>160.11000000000001</v>
      </c>
      <c r="J176" s="1" t="str">
        <f t="shared" si="6"/>
        <v>valid</v>
      </c>
      <c r="K176" t="e">
        <f t="shared" ca="1" si="7"/>
        <v>#NAME?</v>
      </c>
      <c r="L176" t="str">
        <f>IF(E176&gt;=80,"High Value","Normal")</f>
        <v>High Value</v>
      </c>
      <c r="M176" s="2" t="b">
        <f t="shared" si="8"/>
        <v>0</v>
      </c>
      <c r="N176" t="str">
        <f>VLOOKUP(A176,A175:H1175,8)</f>
        <v>Sports</v>
      </c>
    </row>
    <row r="177" spans="1:14" x14ac:dyDescent="0.35">
      <c r="A177">
        <v>176</v>
      </c>
      <c r="B177">
        <v>34</v>
      </c>
      <c r="C177" t="s">
        <v>16</v>
      </c>
      <c r="D177">
        <v>79572</v>
      </c>
      <c r="E177">
        <v>62</v>
      </c>
      <c r="F177">
        <v>2</v>
      </c>
      <c r="G177">
        <v>24</v>
      </c>
      <c r="H177" t="s">
        <v>11</v>
      </c>
      <c r="I177">
        <v>843.15</v>
      </c>
      <c r="J177" s="1" t="str">
        <f t="shared" si="6"/>
        <v>valid</v>
      </c>
      <c r="K177" t="e">
        <f t="shared" ca="1" si="7"/>
        <v>#NAME?</v>
      </c>
      <c r="L177" t="str">
        <f>IF(E177&gt;=80,"High Value","Normal")</f>
        <v>Normal</v>
      </c>
      <c r="M177" s="2" t="str">
        <f t="shared" si="8"/>
        <v>YES</v>
      </c>
      <c r="N177" t="str">
        <f>VLOOKUP(A177,A176:H1176,8)</f>
        <v>Sports</v>
      </c>
    </row>
    <row r="178" spans="1:14" x14ac:dyDescent="0.35">
      <c r="A178">
        <v>177</v>
      </c>
      <c r="B178">
        <v>65</v>
      </c>
      <c r="C178" t="s">
        <v>13</v>
      </c>
      <c r="D178">
        <v>123680</v>
      </c>
      <c r="E178">
        <v>30</v>
      </c>
      <c r="F178">
        <v>2</v>
      </c>
      <c r="G178">
        <v>35</v>
      </c>
      <c r="H178" t="s">
        <v>15</v>
      </c>
      <c r="I178">
        <v>218.74</v>
      </c>
      <c r="J178" s="1" t="str">
        <f t="shared" si="6"/>
        <v>valid</v>
      </c>
      <c r="K178" t="e">
        <f t="shared" ca="1" si="7"/>
        <v>#NAME?</v>
      </c>
      <c r="L178" t="str">
        <f>IF(E178&gt;=80,"High Value","Normal")</f>
        <v>Normal</v>
      </c>
      <c r="M178" s="2" t="str">
        <f t="shared" si="8"/>
        <v>YES</v>
      </c>
      <c r="N178" t="str">
        <f>VLOOKUP(A178,A177:H1177,8)</f>
        <v>Electronics</v>
      </c>
    </row>
    <row r="179" spans="1:14" x14ac:dyDescent="0.35">
      <c r="A179">
        <v>178</v>
      </c>
      <c r="B179">
        <v>67</v>
      </c>
      <c r="C179" t="s">
        <v>9</v>
      </c>
      <c r="D179">
        <v>130300</v>
      </c>
      <c r="E179">
        <v>75</v>
      </c>
      <c r="F179">
        <v>5</v>
      </c>
      <c r="G179">
        <v>27</v>
      </c>
      <c r="H179" t="s">
        <v>15</v>
      </c>
      <c r="I179">
        <v>94.32</v>
      </c>
      <c r="J179" s="1" t="str">
        <f t="shared" si="6"/>
        <v>valid</v>
      </c>
      <c r="K179" t="e">
        <f t="shared" ca="1" si="7"/>
        <v>#NAME?</v>
      </c>
      <c r="L179" t="str">
        <f>IF(E179&gt;=80,"High Value","Normal")</f>
        <v>Normal</v>
      </c>
      <c r="M179" s="2" t="str">
        <f t="shared" si="8"/>
        <v>YES</v>
      </c>
      <c r="N179" t="str">
        <f>VLOOKUP(A179,A178:H1178,8)</f>
        <v>Electronics</v>
      </c>
    </row>
    <row r="180" spans="1:14" x14ac:dyDescent="0.35">
      <c r="A180">
        <v>179</v>
      </c>
      <c r="B180">
        <v>45</v>
      </c>
      <c r="C180" t="s">
        <v>9</v>
      </c>
      <c r="D180">
        <v>102050</v>
      </c>
      <c r="E180">
        <v>57</v>
      </c>
      <c r="F180">
        <v>8</v>
      </c>
      <c r="G180">
        <v>39</v>
      </c>
      <c r="H180" t="s">
        <v>10</v>
      </c>
      <c r="I180">
        <v>263.93</v>
      </c>
      <c r="J180" s="1" t="str">
        <f t="shared" si="6"/>
        <v>valid</v>
      </c>
      <c r="K180" t="e">
        <f t="shared" ca="1" si="7"/>
        <v>#NAME?</v>
      </c>
      <c r="L180" t="str">
        <f>IF(E180&gt;=80,"High Value","Normal")</f>
        <v>Normal</v>
      </c>
      <c r="M180" s="2" t="str">
        <f t="shared" si="8"/>
        <v>YES</v>
      </c>
      <c r="N180" t="str">
        <f>VLOOKUP(A180,A179:H1179,8)</f>
        <v>Groceries</v>
      </c>
    </row>
    <row r="181" spans="1:14" x14ac:dyDescent="0.35">
      <c r="A181">
        <v>180</v>
      </c>
      <c r="B181">
        <v>48</v>
      </c>
      <c r="C181" t="s">
        <v>16</v>
      </c>
      <c r="D181">
        <v>121325</v>
      </c>
      <c r="E181">
        <v>30</v>
      </c>
      <c r="F181">
        <v>3</v>
      </c>
      <c r="G181">
        <v>35</v>
      </c>
      <c r="H181" t="s">
        <v>14</v>
      </c>
      <c r="I181">
        <v>624.36</v>
      </c>
      <c r="J181" s="1" t="str">
        <f t="shared" si="6"/>
        <v>valid</v>
      </c>
      <c r="K181" t="e">
        <f t="shared" ca="1" si="7"/>
        <v>#NAME?</v>
      </c>
      <c r="L181" t="str">
        <f>IF(E181&gt;=80,"High Value","Normal")</f>
        <v>Normal</v>
      </c>
      <c r="M181" s="2" t="str">
        <f t="shared" si="8"/>
        <v>YES</v>
      </c>
      <c r="N181" t="str">
        <f>VLOOKUP(A181,A180:H1180,8)</f>
        <v>Home &amp; Garden</v>
      </c>
    </row>
    <row r="182" spans="1:14" x14ac:dyDescent="0.35">
      <c r="A182">
        <v>181</v>
      </c>
      <c r="B182">
        <v>49</v>
      </c>
      <c r="C182" t="s">
        <v>16</v>
      </c>
      <c r="D182">
        <v>76202</v>
      </c>
      <c r="E182">
        <v>83</v>
      </c>
      <c r="F182">
        <v>3</v>
      </c>
      <c r="G182">
        <v>6</v>
      </c>
      <c r="H182" t="s">
        <v>10</v>
      </c>
      <c r="I182">
        <v>208.79</v>
      </c>
      <c r="J182" s="1" t="str">
        <f t="shared" si="6"/>
        <v>valid</v>
      </c>
      <c r="K182" t="e">
        <f t="shared" ca="1" si="7"/>
        <v>#NAME?</v>
      </c>
      <c r="L182" t="str">
        <f>IF(E182&gt;=80,"High Value","Normal")</f>
        <v>High Value</v>
      </c>
      <c r="M182" s="2" t="b">
        <f t="shared" si="8"/>
        <v>0</v>
      </c>
      <c r="N182" t="str">
        <f>VLOOKUP(A182,A181:H1181,8)</f>
        <v>Groceries</v>
      </c>
    </row>
    <row r="183" spans="1:14" x14ac:dyDescent="0.35">
      <c r="A183">
        <v>182</v>
      </c>
      <c r="B183">
        <v>40</v>
      </c>
      <c r="C183" t="s">
        <v>16</v>
      </c>
      <c r="D183">
        <v>136323</v>
      </c>
      <c r="E183">
        <v>36</v>
      </c>
      <c r="F183">
        <v>6</v>
      </c>
      <c r="G183">
        <v>25</v>
      </c>
      <c r="H183" t="s">
        <v>15</v>
      </c>
      <c r="I183">
        <v>625.28</v>
      </c>
      <c r="J183" s="1" t="str">
        <f t="shared" si="6"/>
        <v>valid</v>
      </c>
      <c r="K183" t="e">
        <f t="shared" ca="1" si="7"/>
        <v>#NAME?</v>
      </c>
      <c r="L183" t="str">
        <f>IF(E183&gt;=80,"High Value","Normal")</f>
        <v>Normal</v>
      </c>
      <c r="M183" s="2" t="str">
        <f t="shared" si="8"/>
        <v>YES</v>
      </c>
      <c r="N183" t="str">
        <f>VLOOKUP(A183,A182:H1182,8)</f>
        <v>Electronics</v>
      </c>
    </row>
    <row r="184" spans="1:14" x14ac:dyDescent="0.35">
      <c r="A184">
        <v>183</v>
      </c>
      <c r="B184">
        <v>43</v>
      </c>
      <c r="C184" t="s">
        <v>9</v>
      </c>
      <c r="D184">
        <v>32512</v>
      </c>
      <c r="E184">
        <v>95</v>
      </c>
      <c r="F184">
        <v>4</v>
      </c>
      <c r="G184">
        <v>49</v>
      </c>
      <c r="H184" t="s">
        <v>14</v>
      </c>
      <c r="I184">
        <v>223.39</v>
      </c>
      <c r="J184" s="1" t="str">
        <f t="shared" si="6"/>
        <v>valid</v>
      </c>
      <c r="K184" t="e">
        <f t="shared" ca="1" si="7"/>
        <v>#NAME?</v>
      </c>
      <c r="L184" t="str">
        <f>IF(E184&gt;=80,"High Value","Normal")</f>
        <v>High Value</v>
      </c>
      <c r="M184" s="2" t="str">
        <f t="shared" si="8"/>
        <v>YES</v>
      </c>
      <c r="N184" t="str">
        <f>VLOOKUP(A184,A183:H1183,8)</f>
        <v>Home &amp; Garden</v>
      </c>
    </row>
    <row r="185" spans="1:14" x14ac:dyDescent="0.35">
      <c r="A185">
        <v>184</v>
      </c>
      <c r="B185">
        <v>27</v>
      </c>
      <c r="C185" t="s">
        <v>16</v>
      </c>
      <c r="D185">
        <v>63313</v>
      </c>
      <c r="E185">
        <v>8</v>
      </c>
      <c r="F185">
        <v>10</v>
      </c>
      <c r="G185">
        <v>42</v>
      </c>
      <c r="H185" t="s">
        <v>10</v>
      </c>
      <c r="I185">
        <v>35.01</v>
      </c>
      <c r="J185" s="1" t="str">
        <f t="shared" si="6"/>
        <v>valid</v>
      </c>
      <c r="K185" t="e">
        <f t="shared" ca="1" si="7"/>
        <v>#NAME?</v>
      </c>
      <c r="L185" t="str">
        <f>IF(E185&gt;=80,"High Value","Normal")</f>
        <v>Normal</v>
      </c>
      <c r="M185" s="2" t="b">
        <f t="shared" si="8"/>
        <v>0</v>
      </c>
      <c r="N185" t="str">
        <f>VLOOKUP(A185,A184:H1184,8)</f>
        <v>Groceries</v>
      </c>
    </row>
    <row r="186" spans="1:14" x14ac:dyDescent="0.35">
      <c r="A186">
        <v>185</v>
      </c>
      <c r="B186">
        <v>41</v>
      </c>
      <c r="C186" t="s">
        <v>9</v>
      </c>
      <c r="D186">
        <v>104337</v>
      </c>
      <c r="E186">
        <v>91</v>
      </c>
      <c r="F186">
        <v>6</v>
      </c>
      <c r="G186">
        <v>27</v>
      </c>
      <c r="H186" t="s">
        <v>14</v>
      </c>
      <c r="I186">
        <v>401.63</v>
      </c>
      <c r="J186" s="1" t="str">
        <f t="shared" si="6"/>
        <v>valid</v>
      </c>
      <c r="K186" t="e">
        <f t="shared" ca="1" si="7"/>
        <v>#NAME?</v>
      </c>
      <c r="L186" t="str">
        <f>IF(E186&gt;=80,"High Value","Normal")</f>
        <v>High Value</v>
      </c>
      <c r="M186" s="2" t="str">
        <f t="shared" si="8"/>
        <v>YES</v>
      </c>
      <c r="N186" t="str">
        <f>VLOOKUP(A186,A185:H1185,8)</f>
        <v>Home &amp; Garden</v>
      </c>
    </row>
    <row r="187" spans="1:14" x14ac:dyDescent="0.35">
      <c r="A187">
        <v>186</v>
      </c>
      <c r="B187">
        <v>40</v>
      </c>
      <c r="C187" t="s">
        <v>13</v>
      </c>
      <c r="D187">
        <v>124138</v>
      </c>
      <c r="E187">
        <v>84</v>
      </c>
      <c r="F187">
        <v>10</v>
      </c>
      <c r="G187">
        <v>41</v>
      </c>
      <c r="H187" t="s">
        <v>10</v>
      </c>
      <c r="I187">
        <v>426.62</v>
      </c>
      <c r="J187" s="1" t="str">
        <f t="shared" si="6"/>
        <v>valid</v>
      </c>
      <c r="K187" t="e">
        <f t="shared" ca="1" si="7"/>
        <v>#NAME?</v>
      </c>
      <c r="L187" t="str">
        <f>IF(E187&gt;=80,"High Value","Normal")</f>
        <v>High Value</v>
      </c>
      <c r="M187" s="2" t="str">
        <f t="shared" si="8"/>
        <v>YES</v>
      </c>
      <c r="N187" t="str">
        <f>VLOOKUP(A187,A186:H1186,8)</f>
        <v>Groceries</v>
      </c>
    </row>
    <row r="188" spans="1:14" x14ac:dyDescent="0.35">
      <c r="A188">
        <v>187</v>
      </c>
      <c r="B188">
        <v>35</v>
      </c>
      <c r="C188" t="s">
        <v>16</v>
      </c>
      <c r="D188">
        <v>137307</v>
      </c>
      <c r="E188">
        <v>32</v>
      </c>
      <c r="F188">
        <v>6</v>
      </c>
      <c r="G188">
        <v>24</v>
      </c>
      <c r="H188" t="s">
        <v>15</v>
      </c>
      <c r="I188">
        <v>111.27</v>
      </c>
      <c r="J188" s="1" t="str">
        <f t="shared" si="6"/>
        <v>valid</v>
      </c>
      <c r="K188" t="e">
        <f t="shared" ca="1" si="7"/>
        <v>#NAME?</v>
      </c>
      <c r="L188" t="str">
        <f>IF(E188&gt;=80,"High Value","Normal")</f>
        <v>Normal</v>
      </c>
      <c r="M188" s="2" t="str">
        <f t="shared" si="8"/>
        <v>YES</v>
      </c>
      <c r="N188" t="str">
        <f>VLOOKUP(A188,A187:H1187,8)</f>
        <v>Electronics</v>
      </c>
    </row>
    <row r="189" spans="1:14" x14ac:dyDescent="0.35">
      <c r="A189">
        <v>188</v>
      </c>
      <c r="B189">
        <v>55</v>
      </c>
      <c r="C189" t="s">
        <v>16</v>
      </c>
      <c r="D189">
        <v>77060</v>
      </c>
      <c r="E189">
        <v>14</v>
      </c>
      <c r="F189">
        <v>2</v>
      </c>
      <c r="G189">
        <v>16</v>
      </c>
      <c r="H189" t="s">
        <v>11</v>
      </c>
      <c r="I189">
        <v>286.79000000000002</v>
      </c>
      <c r="J189" s="1" t="str">
        <f t="shared" si="6"/>
        <v>valid</v>
      </c>
      <c r="K189" t="e">
        <f t="shared" ca="1" si="7"/>
        <v>#NAME?</v>
      </c>
      <c r="L189" t="str">
        <f>IF(E189&gt;=80,"High Value","Normal")</f>
        <v>Normal</v>
      </c>
      <c r="M189" s="2" t="b">
        <f t="shared" si="8"/>
        <v>0</v>
      </c>
      <c r="N189" t="str">
        <f>VLOOKUP(A189,A188:H1188,8)</f>
        <v>Sports</v>
      </c>
    </row>
    <row r="190" spans="1:14" x14ac:dyDescent="0.35">
      <c r="A190">
        <v>189</v>
      </c>
      <c r="B190">
        <v>45</v>
      </c>
      <c r="C190" t="s">
        <v>16</v>
      </c>
      <c r="D190">
        <v>108335</v>
      </c>
      <c r="E190">
        <v>62</v>
      </c>
      <c r="F190">
        <v>1</v>
      </c>
      <c r="G190">
        <v>35</v>
      </c>
      <c r="H190" t="s">
        <v>15</v>
      </c>
      <c r="I190">
        <v>940.93</v>
      </c>
      <c r="J190" s="1" t="str">
        <f t="shared" si="6"/>
        <v>valid</v>
      </c>
      <c r="K190" t="e">
        <f t="shared" ca="1" si="7"/>
        <v>#NAME?</v>
      </c>
      <c r="L190" t="str">
        <f>IF(E190&gt;=80,"High Value","Normal")</f>
        <v>Normal</v>
      </c>
      <c r="M190" s="2" t="str">
        <f t="shared" si="8"/>
        <v>YES</v>
      </c>
      <c r="N190" t="str">
        <f>VLOOKUP(A190,A189:H1189,8)</f>
        <v>Electronics</v>
      </c>
    </row>
    <row r="191" spans="1:14" x14ac:dyDescent="0.35">
      <c r="A191">
        <v>190</v>
      </c>
      <c r="B191">
        <v>41</v>
      </c>
      <c r="C191" t="s">
        <v>13</v>
      </c>
      <c r="D191">
        <v>59408</v>
      </c>
      <c r="E191">
        <v>68</v>
      </c>
      <c r="F191">
        <v>1</v>
      </c>
      <c r="G191">
        <v>16</v>
      </c>
      <c r="H191" t="s">
        <v>15</v>
      </c>
      <c r="I191">
        <v>504.16</v>
      </c>
      <c r="J191" s="1" t="str">
        <f t="shared" si="6"/>
        <v>valid</v>
      </c>
      <c r="K191" t="e">
        <f t="shared" ca="1" si="7"/>
        <v>#NAME?</v>
      </c>
      <c r="L191" t="str">
        <f>IF(E191&gt;=80,"High Value","Normal")</f>
        <v>Normal</v>
      </c>
      <c r="M191" s="2" t="b">
        <f t="shared" si="8"/>
        <v>0</v>
      </c>
      <c r="N191" t="str">
        <f>VLOOKUP(A191,A190:H1190,8)</f>
        <v>Electronics</v>
      </c>
    </row>
    <row r="192" spans="1:14" x14ac:dyDescent="0.35">
      <c r="A192">
        <v>191</v>
      </c>
      <c r="B192">
        <v>35</v>
      </c>
      <c r="C192" t="s">
        <v>16</v>
      </c>
      <c r="D192">
        <v>100208</v>
      </c>
      <c r="E192">
        <v>80</v>
      </c>
      <c r="F192">
        <v>2</v>
      </c>
      <c r="G192">
        <v>27</v>
      </c>
      <c r="H192" t="s">
        <v>15</v>
      </c>
      <c r="I192">
        <v>23.73</v>
      </c>
      <c r="J192" s="1" t="str">
        <f t="shared" si="6"/>
        <v>valid</v>
      </c>
      <c r="K192" t="e">
        <f t="shared" ca="1" si="7"/>
        <v>#NAME?</v>
      </c>
      <c r="L192" t="str">
        <f>IF(E192&gt;=80,"High Value","Normal")</f>
        <v>High Value</v>
      </c>
      <c r="M192" s="2" t="str">
        <f t="shared" si="8"/>
        <v>YES</v>
      </c>
      <c r="N192" t="str">
        <f>VLOOKUP(A192,A191:H1191,8)</f>
        <v>Electronics</v>
      </c>
    </row>
    <row r="193" spans="1:14" x14ac:dyDescent="0.35">
      <c r="A193">
        <v>192</v>
      </c>
      <c r="B193">
        <v>63</v>
      </c>
      <c r="C193" t="s">
        <v>13</v>
      </c>
      <c r="D193">
        <v>109506</v>
      </c>
      <c r="E193">
        <v>48</v>
      </c>
      <c r="F193">
        <v>10</v>
      </c>
      <c r="G193">
        <v>50</v>
      </c>
      <c r="H193" t="s">
        <v>15</v>
      </c>
      <c r="I193">
        <v>26.85</v>
      </c>
      <c r="J193" s="1" t="str">
        <f t="shared" si="6"/>
        <v>valid</v>
      </c>
      <c r="K193" t="e">
        <f t="shared" ca="1" si="7"/>
        <v>#NAME?</v>
      </c>
      <c r="L193" t="str">
        <f>IF(E193&gt;=80,"High Value","Normal")</f>
        <v>Normal</v>
      </c>
      <c r="M193" s="2" t="str">
        <f t="shared" si="8"/>
        <v>YES</v>
      </c>
      <c r="N193" t="str">
        <f>VLOOKUP(A193,A192:H1192,8)</f>
        <v>Electronics</v>
      </c>
    </row>
    <row r="194" spans="1:14" x14ac:dyDescent="0.35">
      <c r="A194">
        <v>193</v>
      </c>
      <c r="B194">
        <v>69</v>
      </c>
      <c r="C194" t="s">
        <v>9</v>
      </c>
      <c r="D194">
        <v>39509</v>
      </c>
      <c r="E194">
        <v>10</v>
      </c>
      <c r="F194">
        <v>6</v>
      </c>
      <c r="G194">
        <v>27</v>
      </c>
      <c r="H194" t="s">
        <v>10</v>
      </c>
      <c r="I194">
        <v>377.66</v>
      </c>
      <c r="J194" s="1" t="str">
        <f t="shared" si="6"/>
        <v>valid</v>
      </c>
      <c r="K194" t="e">
        <f t="shared" ca="1" si="7"/>
        <v>#NAME?</v>
      </c>
      <c r="L194" t="str">
        <f>IF(E194&gt;=80,"High Value","Normal")</f>
        <v>Normal</v>
      </c>
      <c r="M194" s="2" t="str">
        <f t="shared" si="8"/>
        <v>YES</v>
      </c>
      <c r="N194" t="str">
        <f>VLOOKUP(A194,A193:H1193,8)</f>
        <v>Groceries</v>
      </c>
    </row>
    <row r="195" spans="1:14" x14ac:dyDescent="0.35">
      <c r="A195">
        <v>194</v>
      </c>
      <c r="B195">
        <v>69</v>
      </c>
      <c r="C195" t="s">
        <v>16</v>
      </c>
      <c r="D195">
        <v>74519</v>
      </c>
      <c r="E195">
        <v>95</v>
      </c>
      <c r="F195">
        <v>10</v>
      </c>
      <c r="G195">
        <v>42</v>
      </c>
      <c r="H195" t="s">
        <v>12</v>
      </c>
      <c r="I195">
        <v>931.51</v>
      </c>
      <c r="J195" s="1" t="str">
        <f t="shared" ref="J195:J258" si="9">IF(AND(B195&gt;=18, B195&lt;=100), "valid", "invalid")</f>
        <v>valid</v>
      </c>
      <c r="K195" t="e">
        <f t="shared" ref="K195:K258" ca="1" si="10">IFS(OR(C195= "Female",C195="female",C195= "F"), "Female", OR(C195="Male", C195="male",C195= "M"), "Male", TRUE, "Other")</f>
        <v>#NAME?</v>
      </c>
      <c r="L195" t="str">
        <f>IF(E195&gt;=80,"High Value","Normal")</f>
        <v>High Value</v>
      </c>
      <c r="M195" s="2" t="str">
        <f t="shared" ref="M195:M258" si="11">IF(AND(B195&gt;30,G195&gt;20), "YES")</f>
        <v>YES</v>
      </c>
      <c r="N195" t="str">
        <f>VLOOKUP(A195,A194:H1194,8)</f>
        <v>Clothing</v>
      </c>
    </row>
    <row r="196" spans="1:14" x14ac:dyDescent="0.35">
      <c r="A196">
        <v>195</v>
      </c>
      <c r="B196">
        <v>67</v>
      </c>
      <c r="C196" t="s">
        <v>13</v>
      </c>
      <c r="D196">
        <v>31806</v>
      </c>
      <c r="E196">
        <v>79</v>
      </c>
      <c r="F196">
        <v>8</v>
      </c>
      <c r="G196">
        <v>13</v>
      </c>
      <c r="H196" t="s">
        <v>15</v>
      </c>
      <c r="I196">
        <v>261.07</v>
      </c>
      <c r="J196" s="1" t="str">
        <f t="shared" si="9"/>
        <v>valid</v>
      </c>
      <c r="K196" t="e">
        <f t="shared" ca="1" si="10"/>
        <v>#NAME?</v>
      </c>
      <c r="L196" t="str">
        <f>IF(E196&gt;=80,"High Value","Normal")</f>
        <v>Normal</v>
      </c>
      <c r="M196" s="2" t="b">
        <f t="shared" si="11"/>
        <v>0</v>
      </c>
      <c r="N196" t="str">
        <f>VLOOKUP(A196,A195:H1195,8)</f>
        <v>Electronics</v>
      </c>
    </row>
    <row r="197" spans="1:14" x14ac:dyDescent="0.35">
      <c r="A197">
        <v>196</v>
      </c>
      <c r="B197">
        <v>48</v>
      </c>
      <c r="C197" t="s">
        <v>16</v>
      </c>
      <c r="D197">
        <v>108550</v>
      </c>
      <c r="E197">
        <v>5</v>
      </c>
      <c r="F197">
        <v>6</v>
      </c>
      <c r="G197">
        <v>35</v>
      </c>
      <c r="H197" t="s">
        <v>14</v>
      </c>
      <c r="I197">
        <v>410.05</v>
      </c>
      <c r="J197" s="1" t="str">
        <f t="shared" si="9"/>
        <v>valid</v>
      </c>
      <c r="K197" t="e">
        <f t="shared" ca="1" si="10"/>
        <v>#NAME?</v>
      </c>
      <c r="L197" t="str">
        <f>IF(E197&gt;=80,"High Value","Normal")</f>
        <v>Normal</v>
      </c>
      <c r="M197" s="2" t="str">
        <f t="shared" si="11"/>
        <v>YES</v>
      </c>
      <c r="N197" t="str">
        <f>VLOOKUP(A197,A196:H1196,8)</f>
        <v>Home &amp; Garden</v>
      </c>
    </row>
    <row r="198" spans="1:14" x14ac:dyDescent="0.35">
      <c r="A198">
        <v>197</v>
      </c>
      <c r="B198">
        <v>34</v>
      </c>
      <c r="C198" t="s">
        <v>9</v>
      </c>
      <c r="D198">
        <v>56125</v>
      </c>
      <c r="E198">
        <v>66</v>
      </c>
      <c r="F198">
        <v>10</v>
      </c>
      <c r="G198">
        <v>26</v>
      </c>
      <c r="H198" t="s">
        <v>14</v>
      </c>
      <c r="I198">
        <v>610.66</v>
      </c>
      <c r="J198" s="1" t="str">
        <f t="shared" si="9"/>
        <v>valid</v>
      </c>
      <c r="K198" t="e">
        <f t="shared" ca="1" si="10"/>
        <v>#NAME?</v>
      </c>
      <c r="L198" t="str">
        <f>IF(E198&gt;=80,"High Value","Normal")</f>
        <v>Normal</v>
      </c>
      <c r="M198" s="2" t="str">
        <f t="shared" si="11"/>
        <v>YES</v>
      </c>
      <c r="N198" t="str">
        <f>VLOOKUP(A198,A197:H1197,8)</f>
        <v>Home &amp; Garden</v>
      </c>
    </row>
    <row r="199" spans="1:14" x14ac:dyDescent="0.35">
      <c r="A199">
        <v>198</v>
      </c>
      <c r="B199">
        <v>39</v>
      </c>
      <c r="C199" t="s">
        <v>16</v>
      </c>
      <c r="D199">
        <v>116566</v>
      </c>
      <c r="E199">
        <v>76</v>
      </c>
      <c r="F199">
        <v>9</v>
      </c>
      <c r="G199">
        <v>21</v>
      </c>
      <c r="H199" t="s">
        <v>10</v>
      </c>
      <c r="I199">
        <v>32.380000000000003</v>
      </c>
      <c r="J199" s="1" t="str">
        <f t="shared" si="9"/>
        <v>valid</v>
      </c>
      <c r="K199" t="e">
        <f t="shared" ca="1" si="10"/>
        <v>#NAME?</v>
      </c>
      <c r="L199" t="str">
        <f>IF(E199&gt;=80,"High Value","Normal")</f>
        <v>Normal</v>
      </c>
      <c r="M199" s="2" t="str">
        <f t="shared" si="11"/>
        <v>YES</v>
      </c>
      <c r="N199" t="str">
        <f>VLOOKUP(A199,A198:H1198,8)</f>
        <v>Groceries</v>
      </c>
    </row>
    <row r="200" spans="1:14" x14ac:dyDescent="0.35">
      <c r="A200">
        <v>199</v>
      </c>
      <c r="B200">
        <v>45</v>
      </c>
      <c r="C200" t="s">
        <v>9</v>
      </c>
      <c r="D200">
        <v>82014</v>
      </c>
      <c r="E200">
        <v>30</v>
      </c>
      <c r="F200">
        <v>10</v>
      </c>
      <c r="G200">
        <v>15</v>
      </c>
      <c r="H200" t="s">
        <v>10</v>
      </c>
      <c r="I200">
        <v>81.91</v>
      </c>
      <c r="J200" s="1" t="str">
        <f t="shared" si="9"/>
        <v>valid</v>
      </c>
      <c r="K200" t="e">
        <f t="shared" ca="1" si="10"/>
        <v>#NAME?</v>
      </c>
      <c r="L200" t="str">
        <f>IF(E200&gt;=80,"High Value","Normal")</f>
        <v>Normal</v>
      </c>
      <c r="M200" s="2" t="b">
        <f t="shared" si="11"/>
        <v>0</v>
      </c>
      <c r="N200" t="str">
        <f>VLOOKUP(A200,A199:H1199,8)</f>
        <v>Groceries</v>
      </c>
    </row>
    <row r="201" spans="1:14" x14ac:dyDescent="0.35">
      <c r="A201">
        <v>200</v>
      </c>
      <c r="B201">
        <v>63</v>
      </c>
      <c r="C201" t="s">
        <v>9</v>
      </c>
      <c r="D201">
        <v>113240</v>
      </c>
      <c r="E201">
        <v>47</v>
      </c>
      <c r="F201">
        <v>9</v>
      </c>
      <c r="G201">
        <v>22</v>
      </c>
      <c r="H201" t="s">
        <v>12</v>
      </c>
      <c r="I201">
        <v>279.95999999999998</v>
      </c>
      <c r="J201" s="1" t="str">
        <f t="shared" si="9"/>
        <v>valid</v>
      </c>
      <c r="K201" t="e">
        <f t="shared" ca="1" si="10"/>
        <v>#NAME?</v>
      </c>
      <c r="L201" t="str">
        <f>IF(E201&gt;=80,"High Value","Normal")</f>
        <v>Normal</v>
      </c>
      <c r="M201" s="2" t="str">
        <f t="shared" si="11"/>
        <v>YES</v>
      </c>
      <c r="N201" t="str">
        <f>VLOOKUP(A201,A200:H1200,8)</f>
        <v>Clothing</v>
      </c>
    </row>
    <row r="202" spans="1:14" x14ac:dyDescent="0.35">
      <c r="A202">
        <v>201</v>
      </c>
      <c r="B202">
        <v>45</v>
      </c>
      <c r="C202" t="s">
        <v>16</v>
      </c>
      <c r="D202">
        <v>111788</v>
      </c>
      <c r="E202">
        <v>28</v>
      </c>
      <c r="F202">
        <v>9</v>
      </c>
      <c r="G202">
        <v>49</v>
      </c>
      <c r="H202" t="s">
        <v>10</v>
      </c>
      <c r="I202">
        <v>628.42999999999995</v>
      </c>
      <c r="J202" s="1" t="str">
        <f t="shared" si="9"/>
        <v>valid</v>
      </c>
      <c r="K202" t="e">
        <f t="shared" ca="1" si="10"/>
        <v>#NAME?</v>
      </c>
      <c r="L202" t="str">
        <f>IF(E202&gt;=80,"High Value","Normal")</f>
        <v>Normal</v>
      </c>
      <c r="M202" s="2" t="str">
        <f t="shared" si="11"/>
        <v>YES</v>
      </c>
      <c r="N202" t="str">
        <f>VLOOKUP(A202,A201:H1201,8)</f>
        <v>Groceries</v>
      </c>
    </row>
    <row r="203" spans="1:14" x14ac:dyDescent="0.35">
      <c r="A203">
        <v>202</v>
      </c>
      <c r="B203">
        <v>25</v>
      </c>
      <c r="C203" t="s">
        <v>16</v>
      </c>
      <c r="D203">
        <v>30570</v>
      </c>
      <c r="E203">
        <v>16</v>
      </c>
      <c r="F203">
        <v>8</v>
      </c>
      <c r="G203">
        <v>44</v>
      </c>
      <c r="H203" t="s">
        <v>11</v>
      </c>
      <c r="I203">
        <v>971.09</v>
      </c>
      <c r="J203" s="1" t="str">
        <f t="shared" si="9"/>
        <v>valid</v>
      </c>
      <c r="K203" t="e">
        <f t="shared" ca="1" si="10"/>
        <v>#NAME?</v>
      </c>
      <c r="L203" t="str">
        <f>IF(E203&gt;=80,"High Value","Normal")</f>
        <v>Normal</v>
      </c>
      <c r="M203" s="2" t="b">
        <f t="shared" si="11"/>
        <v>0</v>
      </c>
      <c r="N203" t="str">
        <f>VLOOKUP(A203,A202:H1202,8)</f>
        <v>Sports</v>
      </c>
    </row>
    <row r="204" spans="1:14" x14ac:dyDescent="0.35">
      <c r="A204">
        <v>203</v>
      </c>
      <c r="B204">
        <v>66</v>
      </c>
      <c r="C204" t="s">
        <v>13</v>
      </c>
      <c r="D204">
        <v>106631</v>
      </c>
      <c r="E204">
        <v>41</v>
      </c>
      <c r="F204">
        <v>6</v>
      </c>
      <c r="G204">
        <v>9</v>
      </c>
      <c r="H204" t="s">
        <v>14</v>
      </c>
      <c r="I204">
        <v>354.46</v>
      </c>
      <c r="J204" s="1" t="str">
        <f t="shared" si="9"/>
        <v>valid</v>
      </c>
      <c r="K204" t="e">
        <f t="shared" ca="1" si="10"/>
        <v>#NAME?</v>
      </c>
      <c r="L204" t="str">
        <f>IF(E204&gt;=80,"High Value","Normal")</f>
        <v>Normal</v>
      </c>
      <c r="M204" s="2" t="b">
        <f t="shared" si="11"/>
        <v>0</v>
      </c>
      <c r="N204" t="str">
        <f>VLOOKUP(A204,A203:H1203,8)</f>
        <v>Home &amp; Garden</v>
      </c>
    </row>
    <row r="205" spans="1:14" x14ac:dyDescent="0.35">
      <c r="A205">
        <v>204</v>
      </c>
      <c r="B205">
        <v>49</v>
      </c>
      <c r="C205" t="s">
        <v>16</v>
      </c>
      <c r="D205">
        <v>100258</v>
      </c>
      <c r="E205">
        <v>53</v>
      </c>
      <c r="F205">
        <v>6</v>
      </c>
      <c r="G205">
        <v>27</v>
      </c>
      <c r="H205" t="s">
        <v>14</v>
      </c>
      <c r="I205">
        <v>436.43</v>
      </c>
      <c r="J205" s="1" t="str">
        <f t="shared" si="9"/>
        <v>valid</v>
      </c>
      <c r="K205" t="e">
        <f t="shared" ca="1" si="10"/>
        <v>#NAME?</v>
      </c>
      <c r="L205" t="str">
        <f>IF(E205&gt;=80,"High Value","Normal")</f>
        <v>Normal</v>
      </c>
      <c r="M205" s="2" t="str">
        <f t="shared" si="11"/>
        <v>YES</v>
      </c>
      <c r="N205" t="str">
        <f>VLOOKUP(A205,A204:H1204,8)</f>
        <v>Home &amp; Garden</v>
      </c>
    </row>
    <row r="206" spans="1:14" x14ac:dyDescent="0.35">
      <c r="A206">
        <v>205</v>
      </c>
      <c r="B206">
        <v>27</v>
      </c>
      <c r="C206" t="s">
        <v>16</v>
      </c>
      <c r="D206">
        <v>132541</v>
      </c>
      <c r="E206">
        <v>78</v>
      </c>
      <c r="F206">
        <v>8</v>
      </c>
      <c r="G206">
        <v>42</v>
      </c>
      <c r="H206" t="s">
        <v>15</v>
      </c>
      <c r="I206">
        <v>825.01</v>
      </c>
      <c r="J206" s="1" t="str">
        <f t="shared" si="9"/>
        <v>valid</v>
      </c>
      <c r="K206" t="e">
        <f t="shared" ca="1" si="10"/>
        <v>#NAME?</v>
      </c>
      <c r="L206" t="str">
        <f>IF(E206&gt;=80,"High Value","Normal")</f>
        <v>Normal</v>
      </c>
      <c r="M206" s="2" t="b">
        <f t="shared" si="11"/>
        <v>0</v>
      </c>
      <c r="N206" t="str">
        <f>VLOOKUP(A206,A205:H1205,8)</f>
        <v>Electronics</v>
      </c>
    </row>
    <row r="207" spans="1:14" x14ac:dyDescent="0.35">
      <c r="A207">
        <v>206</v>
      </c>
      <c r="B207">
        <v>34</v>
      </c>
      <c r="C207" t="s">
        <v>16</v>
      </c>
      <c r="D207">
        <v>97962</v>
      </c>
      <c r="E207">
        <v>18</v>
      </c>
      <c r="F207">
        <v>3</v>
      </c>
      <c r="G207">
        <v>19</v>
      </c>
      <c r="H207" t="s">
        <v>15</v>
      </c>
      <c r="I207">
        <v>947.73</v>
      </c>
      <c r="J207" s="1" t="str">
        <f t="shared" si="9"/>
        <v>valid</v>
      </c>
      <c r="K207" t="e">
        <f t="shared" ca="1" si="10"/>
        <v>#NAME?</v>
      </c>
      <c r="L207" t="str">
        <f>IF(E207&gt;=80,"High Value","Normal")</f>
        <v>Normal</v>
      </c>
      <c r="M207" s="2" t="b">
        <f t="shared" si="11"/>
        <v>0</v>
      </c>
      <c r="N207" t="str">
        <f>VLOOKUP(A207,A206:H1206,8)</f>
        <v>Electronics</v>
      </c>
    </row>
    <row r="208" spans="1:14" x14ac:dyDescent="0.35">
      <c r="A208">
        <v>207</v>
      </c>
      <c r="B208">
        <v>58</v>
      </c>
      <c r="C208" t="s">
        <v>16</v>
      </c>
      <c r="D208">
        <v>48714</v>
      </c>
      <c r="E208">
        <v>75</v>
      </c>
      <c r="F208">
        <v>10</v>
      </c>
      <c r="G208">
        <v>40</v>
      </c>
      <c r="H208" t="s">
        <v>11</v>
      </c>
      <c r="I208">
        <v>324.91000000000003</v>
      </c>
      <c r="J208" s="1" t="str">
        <f t="shared" si="9"/>
        <v>valid</v>
      </c>
      <c r="K208" t="e">
        <f t="shared" ca="1" si="10"/>
        <v>#NAME?</v>
      </c>
      <c r="L208" t="str">
        <f>IF(E208&gt;=80,"High Value","Normal")</f>
        <v>Normal</v>
      </c>
      <c r="M208" s="2" t="str">
        <f t="shared" si="11"/>
        <v>YES</v>
      </c>
      <c r="N208" t="str">
        <f>VLOOKUP(A208,A207:H1207,8)</f>
        <v>Sports</v>
      </c>
    </row>
    <row r="209" spans="1:14" x14ac:dyDescent="0.35">
      <c r="A209">
        <v>208</v>
      </c>
      <c r="B209">
        <v>59</v>
      </c>
      <c r="C209" t="s">
        <v>9</v>
      </c>
      <c r="D209">
        <v>70050</v>
      </c>
      <c r="E209">
        <v>62</v>
      </c>
      <c r="F209">
        <v>3</v>
      </c>
      <c r="G209">
        <v>10</v>
      </c>
      <c r="H209" t="s">
        <v>12</v>
      </c>
      <c r="I209">
        <v>49.53</v>
      </c>
      <c r="J209" s="1" t="str">
        <f t="shared" si="9"/>
        <v>valid</v>
      </c>
      <c r="K209" t="e">
        <f t="shared" ca="1" si="10"/>
        <v>#NAME?</v>
      </c>
      <c r="L209" t="str">
        <f>IF(E209&gt;=80,"High Value","Normal")</f>
        <v>Normal</v>
      </c>
      <c r="M209" s="2" t="b">
        <f t="shared" si="11"/>
        <v>0</v>
      </c>
      <c r="N209" t="str">
        <f>VLOOKUP(A209,A208:H1208,8)</f>
        <v>Clothing</v>
      </c>
    </row>
    <row r="210" spans="1:14" x14ac:dyDescent="0.35">
      <c r="A210">
        <v>209</v>
      </c>
      <c r="B210">
        <v>60</v>
      </c>
      <c r="C210" t="s">
        <v>9</v>
      </c>
      <c r="D210">
        <v>124416</v>
      </c>
      <c r="E210">
        <v>24</v>
      </c>
      <c r="F210">
        <v>5</v>
      </c>
      <c r="G210">
        <v>39</v>
      </c>
      <c r="H210" t="s">
        <v>14</v>
      </c>
      <c r="I210">
        <v>544.04</v>
      </c>
      <c r="J210" s="1" t="str">
        <f t="shared" si="9"/>
        <v>valid</v>
      </c>
      <c r="K210" t="e">
        <f t="shared" ca="1" si="10"/>
        <v>#NAME?</v>
      </c>
      <c r="L210" t="str">
        <f>IF(E210&gt;=80,"High Value","Normal")</f>
        <v>Normal</v>
      </c>
      <c r="M210" s="2" t="str">
        <f t="shared" si="11"/>
        <v>YES</v>
      </c>
      <c r="N210" t="str">
        <f>VLOOKUP(A210,A209:H1209,8)</f>
        <v>Home &amp; Garden</v>
      </c>
    </row>
    <row r="211" spans="1:14" x14ac:dyDescent="0.35">
      <c r="A211">
        <v>210</v>
      </c>
      <c r="B211">
        <v>47</v>
      </c>
      <c r="C211" t="s">
        <v>13</v>
      </c>
      <c r="D211">
        <v>93783</v>
      </c>
      <c r="E211">
        <v>24</v>
      </c>
      <c r="F211">
        <v>10</v>
      </c>
      <c r="G211">
        <v>3</v>
      </c>
      <c r="H211" t="s">
        <v>15</v>
      </c>
      <c r="I211">
        <v>406.56</v>
      </c>
      <c r="J211" s="1" t="str">
        <f t="shared" si="9"/>
        <v>valid</v>
      </c>
      <c r="K211" t="e">
        <f t="shared" ca="1" si="10"/>
        <v>#NAME?</v>
      </c>
      <c r="L211" t="str">
        <f>IF(E211&gt;=80,"High Value","Normal")</f>
        <v>Normal</v>
      </c>
      <c r="M211" s="2" t="b">
        <f t="shared" si="11"/>
        <v>0</v>
      </c>
      <c r="N211" t="str">
        <f>VLOOKUP(A211,A210:H1210,8)</f>
        <v>Electronics</v>
      </c>
    </row>
    <row r="212" spans="1:14" x14ac:dyDescent="0.35">
      <c r="A212">
        <v>211</v>
      </c>
      <c r="B212">
        <v>40</v>
      </c>
      <c r="C212" t="s">
        <v>9</v>
      </c>
      <c r="D212">
        <v>83445</v>
      </c>
      <c r="E212">
        <v>89</v>
      </c>
      <c r="F212">
        <v>7</v>
      </c>
      <c r="G212">
        <v>11</v>
      </c>
      <c r="H212" t="s">
        <v>12</v>
      </c>
      <c r="I212">
        <v>356.35</v>
      </c>
      <c r="J212" s="1" t="str">
        <f t="shared" si="9"/>
        <v>valid</v>
      </c>
      <c r="K212" t="e">
        <f t="shared" ca="1" si="10"/>
        <v>#NAME?</v>
      </c>
      <c r="L212" t="str">
        <f>IF(E212&gt;=80,"High Value","Normal")</f>
        <v>High Value</v>
      </c>
      <c r="M212" s="2" t="b">
        <f t="shared" si="11"/>
        <v>0</v>
      </c>
      <c r="N212" t="str">
        <f>VLOOKUP(A212,A211:H1211,8)</f>
        <v>Clothing</v>
      </c>
    </row>
    <row r="213" spans="1:14" x14ac:dyDescent="0.35">
      <c r="A213">
        <v>212</v>
      </c>
      <c r="B213">
        <v>18</v>
      </c>
      <c r="C213" t="s">
        <v>13</v>
      </c>
      <c r="D213">
        <v>54421</v>
      </c>
      <c r="E213">
        <v>20</v>
      </c>
      <c r="F213">
        <v>1</v>
      </c>
      <c r="G213">
        <v>41</v>
      </c>
      <c r="H213" t="s">
        <v>14</v>
      </c>
      <c r="I213">
        <v>215.95</v>
      </c>
      <c r="J213" s="1" t="str">
        <f t="shared" si="9"/>
        <v>valid</v>
      </c>
      <c r="K213" t="e">
        <f t="shared" ca="1" si="10"/>
        <v>#NAME?</v>
      </c>
      <c r="L213" t="str">
        <f>IF(E213&gt;=80,"High Value","Normal")</f>
        <v>Normal</v>
      </c>
      <c r="M213" s="2" t="b">
        <f t="shared" si="11"/>
        <v>0</v>
      </c>
      <c r="N213" t="str">
        <f>VLOOKUP(A213,A212:H1212,8)</f>
        <v>Home &amp; Garden</v>
      </c>
    </row>
    <row r="214" spans="1:14" x14ac:dyDescent="0.35">
      <c r="A214">
        <v>213</v>
      </c>
      <c r="B214">
        <v>47</v>
      </c>
      <c r="C214" t="s">
        <v>9</v>
      </c>
      <c r="D214">
        <v>121498</v>
      </c>
      <c r="E214">
        <v>29</v>
      </c>
      <c r="F214">
        <v>9</v>
      </c>
      <c r="G214">
        <v>28</v>
      </c>
      <c r="H214" t="s">
        <v>11</v>
      </c>
      <c r="I214">
        <v>706.37</v>
      </c>
      <c r="J214" s="1" t="str">
        <f t="shared" si="9"/>
        <v>valid</v>
      </c>
      <c r="K214" t="e">
        <f t="shared" ca="1" si="10"/>
        <v>#NAME?</v>
      </c>
      <c r="L214" t="str">
        <f>IF(E214&gt;=80,"High Value","Normal")</f>
        <v>Normal</v>
      </c>
      <c r="M214" s="2" t="str">
        <f t="shared" si="11"/>
        <v>YES</v>
      </c>
      <c r="N214" t="str">
        <f>VLOOKUP(A214,A213:H1213,8)</f>
        <v>Sports</v>
      </c>
    </row>
    <row r="215" spans="1:14" x14ac:dyDescent="0.35">
      <c r="A215">
        <v>214</v>
      </c>
      <c r="B215">
        <v>33</v>
      </c>
      <c r="C215" t="s">
        <v>16</v>
      </c>
      <c r="D215">
        <v>84883</v>
      </c>
      <c r="E215">
        <v>43</v>
      </c>
      <c r="F215">
        <v>2</v>
      </c>
      <c r="G215">
        <v>49</v>
      </c>
      <c r="H215" t="s">
        <v>14</v>
      </c>
      <c r="I215">
        <v>956.03</v>
      </c>
      <c r="J215" s="1" t="str">
        <f t="shared" si="9"/>
        <v>valid</v>
      </c>
      <c r="K215" t="e">
        <f t="shared" ca="1" si="10"/>
        <v>#NAME?</v>
      </c>
      <c r="L215" t="str">
        <f>IF(E215&gt;=80,"High Value","Normal")</f>
        <v>Normal</v>
      </c>
      <c r="M215" s="2" t="str">
        <f t="shared" si="11"/>
        <v>YES</v>
      </c>
      <c r="N215" t="str">
        <f>VLOOKUP(A215,A214:H1214,8)</f>
        <v>Home &amp; Garden</v>
      </c>
    </row>
    <row r="216" spans="1:14" x14ac:dyDescent="0.35">
      <c r="A216">
        <v>215</v>
      </c>
      <c r="B216">
        <v>69</v>
      </c>
      <c r="C216" t="s">
        <v>13</v>
      </c>
      <c r="D216">
        <v>127086</v>
      </c>
      <c r="E216">
        <v>93</v>
      </c>
      <c r="F216">
        <v>4</v>
      </c>
      <c r="G216">
        <v>45</v>
      </c>
      <c r="H216" t="s">
        <v>15</v>
      </c>
      <c r="I216">
        <v>339.9</v>
      </c>
      <c r="J216" s="1" t="str">
        <f t="shared" si="9"/>
        <v>valid</v>
      </c>
      <c r="K216" t="e">
        <f t="shared" ca="1" si="10"/>
        <v>#NAME?</v>
      </c>
      <c r="L216" t="str">
        <f>IF(E216&gt;=80,"High Value","Normal")</f>
        <v>High Value</v>
      </c>
      <c r="M216" s="2" t="str">
        <f t="shared" si="11"/>
        <v>YES</v>
      </c>
      <c r="N216" t="str">
        <f>VLOOKUP(A216,A215:H1215,8)</f>
        <v>Electronics</v>
      </c>
    </row>
    <row r="217" spans="1:14" x14ac:dyDescent="0.35">
      <c r="A217">
        <v>216</v>
      </c>
      <c r="B217">
        <v>26</v>
      </c>
      <c r="C217" t="s">
        <v>13</v>
      </c>
      <c r="D217">
        <v>133538</v>
      </c>
      <c r="E217">
        <v>27</v>
      </c>
      <c r="F217">
        <v>5</v>
      </c>
      <c r="G217">
        <v>46</v>
      </c>
      <c r="H217" t="s">
        <v>15</v>
      </c>
      <c r="I217">
        <v>761.08</v>
      </c>
      <c r="J217" s="1" t="str">
        <f t="shared" si="9"/>
        <v>valid</v>
      </c>
      <c r="K217" t="e">
        <f t="shared" ca="1" si="10"/>
        <v>#NAME?</v>
      </c>
      <c r="L217" t="str">
        <f>IF(E217&gt;=80,"High Value","Normal")</f>
        <v>Normal</v>
      </c>
      <c r="M217" s="2" t="b">
        <f t="shared" si="11"/>
        <v>0</v>
      </c>
      <c r="N217" t="str">
        <f>VLOOKUP(A217,A216:H1216,8)</f>
        <v>Electronics</v>
      </c>
    </row>
    <row r="218" spans="1:14" x14ac:dyDescent="0.35">
      <c r="A218">
        <v>217</v>
      </c>
      <c r="B218">
        <v>46</v>
      </c>
      <c r="C218" t="s">
        <v>9</v>
      </c>
      <c r="D218">
        <v>82034</v>
      </c>
      <c r="E218">
        <v>19</v>
      </c>
      <c r="F218">
        <v>2</v>
      </c>
      <c r="G218">
        <v>45</v>
      </c>
      <c r="H218" t="s">
        <v>11</v>
      </c>
      <c r="I218">
        <v>635.92999999999995</v>
      </c>
      <c r="J218" s="1" t="str">
        <f t="shared" si="9"/>
        <v>valid</v>
      </c>
      <c r="K218" t="e">
        <f t="shared" ca="1" si="10"/>
        <v>#NAME?</v>
      </c>
      <c r="L218" t="str">
        <f>IF(E218&gt;=80,"High Value","Normal")</f>
        <v>Normal</v>
      </c>
      <c r="M218" s="2" t="str">
        <f t="shared" si="11"/>
        <v>YES</v>
      </c>
      <c r="N218" t="str">
        <f>VLOOKUP(A218,A217:H1217,8)</f>
        <v>Sports</v>
      </c>
    </row>
    <row r="219" spans="1:14" x14ac:dyDescent="0.35">
      <c r="A219">
        <v>218</v>
      </c>
      <c r="B219">
        <v>55</v>
      </c>
      <c r="C219" t="s">
        <v>9</v>
      </c>
      <c r="D219">
        <v>147024</v>
      </c>
      <c r="E219">
        <v>24</v>
      </c>
      <c r="F219">
        <v>9</v>
      </c>
      <c r="G219">
        <v>16</v>
      </c>
      <c r="H219" t="s">
        <v>15</v>
      </c>
      <c r="I219">
        <v>169.79</v>
      </c>
      <c r="J219" s="1" t="str">
        <f t="shared" si="9"/>
        <v>valid</v>
      </c>
      <c r="K219" t="e">
        <f t="shared" ca="1" si="10"/>
        <v>#NAME?</v>
      </c>
      <c r="L219" t="str">
        <f>IF(E219&gt;=80,"High Value","Normal")</f>
        <v>Normal</v>
      </c>
      <c r="M219" s="2" t="b">
        <f t="shared" si="11"/>
        <v>0</v>
      </c>
      <c r="N219" t="str">
        <f>VLOOKUP(A219,A218:H1218,8)</f>
        <v>Electronics</v>
      </c>
    </row>
    <row r="220" spans="1:14" x14ac:dyDescent="0.35">
      <c r="A220">
        <v>219</v>
      </c>
      <c r="B220">
        <v>57</v>
      </c>
      <c r="C220" t="s">
        <v>16</v>
      </c>
      <c r="D220">
        <v>33009</v>
      </c>
      <c r="E220">
        <v>82</v>
      </c>
      <c r="F220">
        <v>9</v>
      </c>
      <c r="G220">
        <v>24</v>
      </c>
      <c r="H220" t="s">
        <v>12</v>
      </c>
      <c r="I220">
        <v>563.64</v>
      </c>
      <c r="J220" s="1" t="str">
        <f t="shared" si="9"/>
        <v>valid</v>
      </c>
      <c r="K220" t="e">
        <f t="shared" ca="1" si="10"/>
        <v>#NAME?</v>
      </c>
      <c r="L220" t="str">
        <f>IF(E220&gt;=80,"High Value","Normal")</f>
        <v>High Value</v>
      </c>
      <c r="M220" s="2" t="str">
        <f t="shared" si="11"/>
        <v>YES</v>
      </c>
      <c r="N220" t="str">
        <f>VLOOKUP(A220,A219:H1219,8)</f>
        <v>Clothing</v>
      </c>
    </row>
    <row r="221" spans="1:14" x14ac:dyDescent="0.35">
      <c r="A221">
        <v>220</v>
      </c>
      <c r="B221">
        <v>69</v>
      </c>
      <c r="C221" t="s">
        <v>16</v>
      </c>
      <c r="D221">
        <v>142216</v>
      </c>
      <c r="E221">
        <v>90</v>
      </c>
      <c r="F221">
        <v>7</v>
      </c>
      <c r="G221">
        <v>29</v>
      </c>
      <c r="H221" t="s">
        <v>15</v>
      </c>
      <c r="I221">
        <v>559.73</v>
      </c>
      <c r="J221" s="1" t="str">
        <f t="shared" si="9"/>
        <v>valid</v>
      </c>
      <c r="K221" t="e">
        <f t="shared" ca="1" si="10"/>
        <v>#NAME?</v>
      </c>
      <c r="L221" t="str">
        <f>IF(E221&gt;=80,"High Value","Normal")</f>
        <v>High Value</v>
      </c>
      <c r="M221" s="2" t="str">
        <f t="shared" si="11"/>
        <v>YES</v>
      </c>
      <c r="N221" t="str">
        <f>VLOOKUP(A221,A220:H1220,8)</f>
        <v>Electronics</v>
      </c>
    </row>
    <row r="222" spans="1:14" x14ac:dyDescent="0.35">
      <c r="A222">
        <v>221</v>
      </c>
      <c r="B222">
        <v>62</v>
      </c>
      <c r="C222" t="s">
        <v>16</v>
      </c>
      <c r="D222">
        <v>82623</v>
      </c>
      <c r="E222">
        <v>51</v>
      </c>
      <c r="F222">
        <v>8</v>
      </c>
      <c r="G222">
        <v>37</v>
      </c>
      <c r="H222" t="s">
        <v>12</v>
      </c>
      <c r="I222">
        <v>155.13999999999999</v>
      </c>
      <c r="J222" s="1" t="str">
        <f t="shared" si="9"/>
        <v>valid</v>
      </c>
      <c r="K222" t="e">
        <f t="shared" ca="1" si="10"/>
        <v>#NAME?</v>
      </c>
      <c r="L222" t="str">
        <f>IF(E222&gt;=80,"High Value","Normal")</f>
        <v>Normal</v>
      </c>
      <c r="M222" s="2" t="str">
        <f t="shared" si="11"/>
        <v>YES</v>
      </c>
      <c r="N222" t="str">
        <f>VLOOKUP(A222,A221:H1221,8)</f>
        <v>Clothing</v>
      </c>
    </row>
    <row r="223" spans="1:14" x14ac:dyDescent="0.35">
      <c r="A223">
        <v>222</v>
      </c>
      <c r="B223">
        <v>67</v>
      </c>
      <c r="C223" t="s">
        <v>13</v>
      </c>
      <c r="D223">
        <v>64134</v>
      </c>
      <c r="E223">
        <v>3</v>
      </c>
      <c r="F223">
        <v>2</v>
      </c>
      <c r="G223">
        <v>26</v>
      </c>
      <c r="H223" t="s">
        <v>12</v>
      </c>
      <c r="I223">
        <v>868.18</v>
      </c>
      <c r="J223" s="1" t="str">
        <f t="shared" si="9"/>
        <v>valid</v>
      </c>
      <c r="K223" t="e">
        <f t="shared" ca="1" si="10"/>
        <v>#NAME?</v>
      </c>
      <c r="L223" t="str">
        <f>IF(E223&gt;=80,"High Value","Normal")</f>
        <v>Normal</v>
      </c>
      <c r="M223" s="2" t="str">
        <f t="shared" si="11"/>
        <v>YES</v>
      </c>
      <c r="N223" t="str">
        <f>VLOOKUP(A223,A222:H1222,8)</f>
        <v>Clothing</v>
      </c>
    </row>
    <row r="224" spans="1:14" x14ac:dyDescent="0.35">
      <c r="A224">
        <v>223</v>
      </c>
      <c r="B224">
        <v>53</v>
      </c>
      <c r="C224" t="s">
        <v>9</v>
      </c>
      <c r="D224">
        <v>146546</v>
      </c>
      <c r="E224">
        <v>12</v>
      </c>
      <c r="F224">
        <v>6</v>
      </c>
      <c r="G224">
        <v>45</v>
      </c>
      <c r="H224" t="s">
        <v>11</v>
      </c>
      <c r="I224">
        <v>915.02</v>
      </c>
      <c r="J224" s="1" t="str">
        <f t="shared" si="9"/>
        <v>valid</v>
      </c>
      <c r="K224" t="e">
        <f t="shared" ca="1" si="10"/>
        <v>#NAME?</v>
      </c>
      <c r="L224" t="str">
        <f>IF(E224&gt;=80,"High Value","Normal")</f>
        <v>Normal</v>
      </c>
      <c r="M224" s="2" t="str">
        <f t="shared" si="11"/>
        <v>YES</v>
      </c>
      <c r="N224" t="str">
        <f>VLOOKUP(A224,A223:H1223,8)</f>
        <v>Sports</v>
      </c>
    </row>
    <row r="225" spans="1:14" x14ac:dyDescent="0.35">
      <c r="A225">
        <v>224</v>
      </c>
      <c r="B225">
        <v>51</v>
      </c>
      <c r="C225" t="s">
        <v>9</v>
      </c>
      <c r="D225">
        <v>33665</v>
      </c>
      <c r="E225">
        <v>12</v>
      </c>
      <c r="F225">
        <v>2</v>
      </c>
      <c r="G225">
        <v>2</v>
      </c>
      <c r="H225" t="s">
        <v>10</v>
      </c>
      <c r="I225">
        <v>139.07</v>
      </c>
      <c r="J225" s="1" t="str">
        <f t="shared" si="9"/>
        <v>valid</v>
      </c>
      <c r="K225" t="e">
        <f t="shared" ca="1" si="10"/>
        <v>#NAME?</v>
      </c>
      <c r="L225" t="str">
        <f>IF(E225&gt;=80,"High Value","Normal")</f>
        <v>Normal</v>
      </c>
      <c r="M225" s="2" t="b">
        <f t="shared" si="11"/>
        <v>0</v>
      </c>
      <c r="N225" t="str">
        <f>VLOOKUP(A225,A224:H1224,8)</f>
        <v>Groceries</v>
      </c>
    </row>
    <row r="226" spans="1:14" x14ac:dyDescent="0.35">
      <c r="A226">
        <v>225</v>
      </c>
      <c r="B226">
        <v>54</v>
      </c>
      <c r="C226" t="s">
        <v>9</v>
      </c>
      <c r="D226">
        <v>92156</v>
      </c>
      <c r="E226">
        <v>18</v>
      </c>
      <c r="F226">
        <v>7</v>
      </c>
      <c r="G226">
        <v>14</v>
      </c>
      <c r="H226" t="s">
        <v>15</v>
      </c>
      <c r="I226">
        <v>238.87</v>
      </c>
      <c r="J226" s="1" t="str">
        <f t="shared" si="9"/>
        <v>valid</v>
      </c>
      <c r="K226" t="e">
        <f t="shared" ca="1" si="10"/>
        <v>#NAME?</v>
      </c>
      <c r="L226" t="str">
        <f>IF(E226&gt;=80,"High Value","Normal")</f>
        <v>Normal</v>
      </c>
      <c r="M226" s="2" t="b">
        <f t="shared" si="11"/>
        <v>0</v>
      </c>
      <c r="N226" t="str">
        <f>VLOOKUP(A226,A225:H1225,8)</f>
        <v>Electronics</v>
      </c>
    </row>
    <row r="227" spans="1:14" x14ac:dyDescent="0.35">
      <c r="A227">
        <v>226</v>
      </c>
      <c r="B227">
        <v>19</v>
      </c>
      <c r="C227" t="s">
        <v>9</v>
      </c>
      <c r="D227">
        <v>51355</v>
      </c>
      <c r="E227">
        <v>48</v>
      </c>
      <c r="F227">
        <v>8</v>
      </c>
      <c r="G227">
        <v>28</v>
      </c>
      <c r="H227" t="s">
        <v>14</v>
      </c>
      <c r="I227">
        <v>278.20999999999998</v>
      </c>
      <c r="J227" s="1" t="str">
        <f t="shared" si="9"/>
        <v>valid</v>
      </c>
      <c r="K227" t="e">
        <f t="shared" ca="1" si="10"/>
        <v>#NAME?</v>
      </c>
      <c r="L227" t="str">
        <f>IF(E227&gt;=80,"High Value","Normal")</f>
        <v>Normal</v>
      </c>
      <c r="M227" s="2" t="b">
        <f t="shared" si="11"/>
        <v>0</v>
      </c>
      <c r="N227" t="str">
        <f>VLOOKUP(A227,A226:H1226,8)</f>
        <v>Home &amp; Garden</v>
      </c>
    </row>
    <row r="228" spans="1:14" x14ac:dyDescent="0.35">
      <c r="A228">
        <v>227</v>
      </c>
      <c r="B228">
        <v>65</v>
      </c>
      <c r="C228" t="s">
        <v>16</v>
      </c>
      <c r="D228">
        <v>89274</v>
      </c>
      <c r="E228">
        <v>71</v>
      </c>
      <c r="F228">
        <v>10</v>
      </c>
      <c r="G228">
        <v>34</v>
      </c>
      <c r="H228" t="s">
        <v>15</v>
      </c>
      <c r="I228">
        <v>840.45</v>
      </c>
      <c r="J228" s="1" t="str">
        <f t="shared" si="9"/>
        <v>valid</v>
      </c>
      <c r="K228" t="e">
        <f t="shared" ca="1" si="10"/>
        <v>#NAME?</v>
      </c>
      <c r="L228" t="str">
        <f>IF(E228&gt;=80,"High Value","Normal")</f>
        <v>Normal</v>
      </c>
      <c r="M228" s="2" t="str">
        <f t="shared" si="11"/>
        <v>YES</v>
      </c>
      <c r="N228" t="str">
        <f>VLOOKUP(A228,A227:H1227,8)</f>
        <v>Electronics</v>
      </c>
    </row>
    <row r="229" spans="1:14" x14ac:dyDescent="0.35">
      <c r="A229">
        <v>228</v>
      </c>
      <c r="B229">
        <v>53</v>
      </c>
      <c r="C229" t="s">
        <v>16</v>
      </c>
      <c r="D229">
        <v>57651</v>
      </c>
      <c r="E229">
        <v>27</v>
      </c>
      <c r="F229">
        <v>7</v>
      </c>
      <c r="G229">
        <v>16</v>
      </c>
      <c r="H229" t="s">
        <v>14</v>
      </c>
      <c r="I229">
        <v>345.62</v>
      </c>
      <c r="J229" s="1" t="str">
        <f t="shared" si="9"/>
        <v>valid</v>
      </c>
      <c r="K229" t="e">
        <f t="shared" ca="1" si="10"/>
        <v>#NAME?</v>
      </c>
      <c r="L229" t="str">
        <f>IF(E229&gt;=80,"High Value","Normal")</f>
        <v>Normal</v>
      </c>
      <c r="M229" s="2" t="b">
        <f t="shared" si="11"/>
        <v>0</v>
      </c>
      <c r="N229" t="str">
        <f>VLOOKUP(A229,A228:H1228,8)</f>
        <v>Home &amp; Garden</v>
      </c>
    </row>
    <row r="230" spans="1:14" x14ac:dyDescent="0.35">
      <c r="A230">
        <v>229</v>
      </c>
      <c r="B230">
        <v>19</v>
      </c>
      <c r="C230" t="s">
        <v>13</v>
      </c>
      <c r="D230">
        <v>52470</v>
      </c>
      <c r="E230">
        <v>90</v>
      </c>
      <c r="F230">
        <v>5</v>
      </c>
      <c r="G230">
        <v>35</v>
      </c>
      <c r="H230" t="s">
        <v>10</v>
      </c>
      <c r="I230">
        <v>515.99</v>
      </c>
      <c r="J230" s="1" t="str">
        <f t="shared" si="9"/>
        <v>valid</v>
      </c>
      <c r="K230" t="e">
        <f t="shared" ca="1" si="10"/>
        <v>#NAME?</v>
      </c>
      <c r="L230" t="str">
        <f>IF(E230&gt;=80,"High Value","Normal")</f>
        <v>High Value</v>
      </c>
      <c r="M230" s="2" t="b">
        <f t="shared" si="11"/>
        <v>0</v>
      </c>
      <c r="N230" t="str">
        <f>VLOOKUP(A230,A229:H1229,8)</f>
        <v>Groceries</v>
      </c>
    </row>
    <row r="231" spans="1:14" x14ac:dyDescent="0.35">
      <c r="A231">
        <v>230</v>
      </c>
      <c r="B231">
        <v>56</v>
      </c>
      <c r="C231" t="s">
        <v>16</v>
      </c>
      <c r="D231">
        <v>31154</v>
      </c>
      <c r="E231">
        <v>40</v>
      </c>
      <c r="F231">
        <v>4</v>
      </c>
      <c r="G231">
        <v>25</v>
      </c>
      <c r="H231" t="s">
        <v>15</v>
      </c>
      <c r="I231">
        <v>197.54</v>
      </c>
      <c r="J231" s="1" t="str">
        <f t="shared" si="9"/>
        <v>valid</v>
      </c>
      <c r="K231" t="e">
        <f t="shared" ca="1" si="10"/>
        <v>#NAME?</v>
      </c>
      <c r="L231" t="str">
        <f>IF(E231&gt;=80,"High Value","Normal")</f>
        <v>Normal</v>
      </c>
      <c r="M231" s="2" t="str">
        <f t="shared" si="11"/>
        <v>YES</v>
      </c>
      <c r="N231" t="str">
        <f>VLOOKUP(A231,A230:H1230,8)</f>
        <v>Electronics</v>
      </c>
    </row>
    <row r="232" spans="1:14" x14ac:dyDescent="0.35">
      <c r="A232">
        <v>231</v>
      </c>
      <c r="B232">
        <v>24</v>
      </c>
      <c r="C232" t="s">
        <v>9</v>
      </c>
      <c r="D232">
        <v>147572</v>
      </c>
      <c r="E232">
        <v>44</v>
      </c>
      <c r="F232">
        <v>7</v>
      </c>
      <c r="G232">
        <v>45</v>
      </c>
      <c r="H232" t="s">
        <v>15</v>
      </c>
      <c r="I232">
        <v>204.27</v>
      </c>
      <c r="J232" s="1" t="str">
        <f t="shared" si="9"/>
        <v>valid</v>
      </c>
      <c r="K232" t="e">
        <f t="shared" ca="1" si="10"/>
        <v>#NAME?</v>
      </c>
      <c r="L232" t="str">
        <f>IF(E232&gt;=80,"High Value","Normal")</f>
        <v>Normal</v>
      </c>
      <c r="M232" s="2" t="b">
        <f t="shared" si="11"/>
        <v>0</v>
      </c>
      <c r="N232" t="str">
        <f>VLOOKUP(A232,A231:H1231,8)</f>
        <v>Electronics</v>
      </c>
    </row>
    <row r="233" spans="1:14" x14ac:dyDescent="0.35">
      <c r="A233">
        <v>232</v>
      </c>
      <c r="B233">
        <v>66</v>
      </c>
      <c r="C233" t="s">
        <v>16</v>
      </c>
      <c r="D233">
        <v>144573</v>
      </c>
      <c r="E233">
        <v>41</v>
      </c>
      <c r="F233">
        <v>7</v>
      </c>
      <c r="G233">
        <v>24</v>
      </c>
      <c r="H233" t="s">
        <v>10</v>
      </c>
      <c r="I233">
        <v>66.599999999999994</v>
      </c>
      <c r="J233" s="1" t="str">
        <f t="shared" si="9"/>
        <v>valid</v>
      </c>
      <c r="K233" t="e">
        <f t="shared" ca="1" si="10"/>
        <v>#NAME?</v>
      </c>
      <c r="L233" t="str">
        <f>IF(E233&gt;=80,"High Value","Normal")</f>
        <v>Normal</v>
      </c>
      <c r="M233" s="2" t="str">
        <f t="shared" si="11"/>
        <v>YES</v>
      </c>
      <c r="N233" t="str">
        <f>VLOOKUP(A233,A232:H1232,8)</f>
        <v>Groceries</v>
      </c>
    </row>
    <row r="234" spans="1:14" x14ac:dyDescent="0.35">
      <c r="A234">
        <v>233</v>
      </c>
      <c r="B234">
        <v>41</v>
      </c>
      <c r="C234" t="s">
        <v>9</v>
      </c>
      <c r="D234">
        <v>88312</v>
      </c>
      <c r="E234">
        <v>22</v>
      </c>
      <c r="F234">
        <v>6</v>
      </c>
      <c r="G234">
        <v>31</v>
      </c>
      <c r="H234" t="s">
        <v>10</v>
      </c>
      <c r="I234">
        <v>212.53</v>
      </c>
      <c r="J234" s="1" t="str">
        <f t="shared" si="9"/>
        <v>valid</v>
      </c>
      <c r="K234" t="e">
        <f t="shared" ca="1" si="10"/>
        <v>#NAME?</v>
      </c>
      <c r="L234" t="str">
        <f>IF(E234&gt;=80,"High Value","Normal")</f>
        <v>Normal</v>
      </c>
      <c r="M234" s="2" t="str">
        <f t="shared" si="11"/>
        <v>YES</v>
      </c>
      <c r="N234" t="str">
        <f>VLOOKUP(A234,A233:H1233,8)</f>
        <v>Groceries</v>
      </c>
    </row>
    <row r="235" spans="1:14" x14ac:dyDescent="0.35">
      <c r="A235">
        <v>234</v>
      </c>
      <c r="B235">
        <v>29</v>
      </c>
      <c r="C235" t="s">
        <v>9</v>
      </c>
      <c r="D235">
        <v>96066</v>
      </c>
      <c r="E235">
        <v>45</v>
      </c>
      <c r="F235">
        <v>7</v>
      </c>
      <c r="G235">
        <v>24</v>
      </c>
      <c r="H235" t="s">
        <v>11</v>
      </c>
      <c r="I235">
        <v>479.36</v>
      </c>
      <c r="J235" s="1" t="str">
        <f t="shared" si="9"/>
        <v>valid</v>
      </c>
      <c r="K235" t="e">
        <f t="shared" ca="1" si="10"/>
        <v>#NAME?</v>
      </c>
      <c r="L235" t="str">
        <f>IF(E235&gt;=80,"High Value","Normal")</f>
        <v>Normal</v>
      </c>
      <c r="M235" s="2" t="b">
        <f t="shared" si="11"/>
        <v>0</v>
      </c>
      <c r="N235" t="str">
        <f>VLOOKUP(A235,A234:H1234,8)</f>
        <v>Sports</v>
      </c>
    </row>
    <row r="236" spans="1:14" x14ac:dyDescent="0.35">
      <c r="A236">
        <v>235</v>
      </c>
      <c r="B236">
        <v>19</v>
      </c>
      <c r="C236" t="s">
        <v>9</v>
      </c>
      <c r="D236">
        <v>41542</v>
      </c>
      <c r="E236">
        <v>21</v>
      </c>
      <c r="F236">
        <v>1</v>
      </c>
      <c r="G236">
        <v>22</v>
      </c>
      <c r="H236" t="s">
        <v>10</v>
      </c>
      <c r="I236">
        <v>132.88</v>
      </c>
      <c r="J236" s="1" t="str">
        <f t="shared" si="9"/>
        <v>valid</v>
      </c>
      <c r="K236" t="e">
        <f t="shared" ca="1" si="10"/>
        <v>#NAME?</v>
      </c>
      <c r="L236" t="str">
        <f>IF(E236&gt;=80,"High Value","Normal")</f>
        <v>Normal</v>
      </c>
      <c r="M236" s="2" t="b">
        <f t="shared" si="11"/>
        <v>0</v>
      </c>
      <c r="N236" t="str">
        <f>VLOOKUP(A236,A235:H1235,8)</f>
        <v>Groceries</v>
      </c>
    </row>
    <row r="237" spans="1:14" x14ac:dyDescent="0.35">
      <c r="A237">
        <v>236</v>
      </c>
      <c r="B237">
        <v>42</v>
      </c>
      <c r="C237" t="s">
        <v>13</v>
      </c>
      <c r="D237">
        <v>66495</v>
      </c>
      <c r="E237">
        <v>79</v>
      </c>
      <c r="F237">
        <v>9</v>
      </c>
      <c r="G237">
        <v>31</v>
      </c>
      <c r="H237" t="s">
        <v>11</v>
      </c>
      <c r="I237">
        <v>537.66</v>
      </c>
      <c r="J237" s="1" t="str">
        <f t="shared" si="9"/>
        <v>valid</v>
      </c>
      <c r="K237" t="e">
        <f t="shared" ca="1" si="10"/>
        <v>#NAME?</v>
      </c>
      <c r="L237" t="str">
        <f>IF(E237&gt;=80,"High Value","Normal")</f>
        <v>Normal</v>
      </c>
      <c r="M237" s="2" t="str">
        <f t="shared" si="11"/>
        <v>YES</v>
      </c>
      <c r="N237" t="str">
        <f>VLOOKUP(A237,A236:H1236,8)</f>
        <v>Sports</v>
      </c>
    </row>
    <row r="238" spans="1:14" x14ac:dyDescent="0.35">
      <c r="A238">
        <v>237</v>
      </c>
      <c r="B238">
        <v>62</v>
      </c>
      <c r="C238" t="s">
        <v>13</v>
      </c>
      <c r="D238">
        <v>52480</v>
      </c>
      <c r="E238">
        <v>22</v>
      </c>
      <c r="F238">
        <v>3</v>
      </c>
      <c r="G238">
        <v>14</v>
      </c>
      <c r="H238" t="s">
        <v>15</v>
      </c>
      <c r="I238">
        <v>821.42</v>
      </c>
      <c r="J238" s="1" t="str">
        <f t="shared" si="9"/>
        <v>valid</v>
      </c>
      <c r="K238" t="e">
        <f t="shared" ca="1" si="10"/>
        <v>#NAME?</v>
      </c>
      <c r="L238" t="str">
        <f>IF(E238&gt;=80,"High Value","Normal")</f>
        <v>Normal</v>
      </c>
      <c r="M238" s="2" t="b">
        <f t="shared" si="11"/>
        <v>0</v>
      </c>
      <c r="N238" t="str">
        <f>VLOOKUP(A238,A237:H1237,8)</f>
        <v>Electronics</v>
      </c>
    </row>
    <row r="239" spans="1:14" x14ac:dyDescent="0.35">
      <c r="A239">
        <v>238</v>
      </c>
      <c r="B239">
        <v>64</v>
      </c>
      <c r="C239" t="s">
        <v>13</v>
      </c>
      <c r="D239">
        <v>148368</v>
      </c>
      <c r="E239">
        <v>19</v>
      </c>
      <c r="F239">
        <v>4</v>
      </c>
      <c r="G239">
        <v>23</v>
      </c>
      <c r="H239" t="s">
        <v>10</v>
      </c>
      <c r="I239">
        <v>949.32</v>
      </c>
      <c r="J239" s="1" t="str">
        <f t="shared" si="9"/>
        <v>valid</v>
      </c>
      <c r="K239" t="e">
        <f t="shared" ca="1" si="10"/>
        <v>#NAME?</v>
      </c>
      <c r="L239" t="str">
        <f>IF(E239&gt;=80,"High Value","Normal")</f>
        <v>Normal</v>
      </c>
      <c r="M239" s="2" t="str">
        <f t="shared" si="11"/>
        <v>YES</v>
      </c>
      <c r="N239" t="str">
        <f>VLOOKUP(A239,A238:H1238,8)</f>
        <v>Groceries</v>
      </c>
    </row>
    <row r="240" spans="1:14" x14ac:dyDescent="0.35">
      <c r="A240">
        <v>239</v>
      </c>
      <c r="B240">
        <v>64</v>
      </c>
      <c r="C240" t="s">
        <v>9</v>
      </c>
      <c r="D240">
        <v>124599</v>
      </c>
      <c r="E240">
        <v>41</v>
      </c>
      <c r="F240">
        <v>9</v>
      </c>
      <c r="G240">
        <v>41</v>
      </c>
      <c r="H240" t="s">
        <v>10</v>
      </c>
      <c r="I240">
        <v>924.18</v>
      </c>
      <c r="J240" s="1" t="str">
        <f t="shared" si="9"/>
        <v>valid</v>
      </c>
      <c r="K240" t="e">
        <f t="shared" ca="1" si="10"/>
        <v>#NAME?</v>
      </c>
      <c r="L240" t="str">
        <f>IF(E240&gt;=80,"High Value","Normal")</f>
        <v>Normal</v>
      </c>
      <c r="M240" s="2" t="str">
        <f t="shared" si="11"/>
        <v>YES</v>
      </c>
      <c r="N240" t="str">
        <f>VLOOKUP(A240,A239:H1239,8)</f>
        <v>Groceries</v>
      </c>
    </row>
    <row r="241" spans="1:14" x14ac:dyDescent="0.35">
      <c r="A241">
        <v>240</v>
      </c>
      <c r="B241">
        <v>44</v>
      </c>
      <c r="C241" t="s">
        <v>9</v>
      </c>
      <c r="D241">
        <v>121975</v>
      </c>
      <c r="E241">
        <v>33</v>
      </c>
      <c r="F241">
        <v>6</v>
      </c>
      <c r="G241">
        <v>27</v>
      </c>
      <c r="H241" t="s">
        <v>10</v>
      </c>
      <c r="I241">
        <v>640.96</v>
      </c>
      <c r="J241" s="1" t="str">
        <f t="shared" si="9"/>
        <v>valid</v>
      </c>
      <c r="K241" t="e">
        <f t="shared" ca="1" si="10"/>
        <v>#NAME?</v>
      </c>
      <c r="L241" t="str">
        <f>IF(E241&gt;=80,"High Value","Normal")</f>
        <v>Normal</v>
      </c>
      <c r="M241" s="2" t="str">
        <f t="shared" si="11"/>
        <v>YES</v>
      </c>
      <c r="N241" t="str">
        <f>VLOOKUP(A241,A240:H1240,8)</f>
        <v>Groceries</v>
      </c>
    </row>
    <row r="242" spans="1:14" x14ac:dyDescent="0.35">
      <c r="A242">
        <v>241</v>
      </c>
      <c r="B242">
        <v>41</v>
      </c>
      <c r="C242" t="s">
        <v>9</v>
      </c>
      <c r="D242">
        <v>41748</v>
      </c>
      <c r="E242">
        <v>50</v>
      </c>
      <c r="F242">
        <v>8</v>
      </c>
      <c r="G242">
        <v>5</v>
      </c>
      <c r="H242" t="s">
        <v>11</v>
      </c>
      <c r="I242">
        <v>35.159999999999997</v>
      </c>
      <c r="J242" s="1" t="str">
        <f t="shared" si="9"/>
        <v>valid</v>
      </c>
      <c r="K242" t="e">
        <f t="shared" ca="1" si="10"/>
        <v>#NAME?</v>
      </c>
      <c r="L242" t="str">
        <f>IF(E242&gt;=80,"High Value","Normal")</f>
        <v>Normal</v>
      </c>
      <c r="M242" s="2" t="b">
        <f t="shared" si="11"/>
        <v>0</v>
      </c>
      <c r="N242" t="str">
        <f>VLOOKUP(A242,A241:H1241,8)</f>
        <v>Sports</v>
      </c>
    </row>
    <row r="243" spans="1:14" x14ac:dyDescent="0.35">
      <c r="A243">
        <v>242</v>
      </c>
      <c r="B243">
        <v>31</v>
      </c>
      <c r="C243" t="s">
        <v>9</v>
      </c>
      <c r="D243">
        <v>125501</v>
      </c>
      <c r="E243">
        <v>74</v>
      </c>
      <c r="F243">
        <v>3</v>
      </c>
      <c r="G243">
        <v>18</v>
      </c>
      <c r="H243" t="s">
        <v>15</v>
      </c>
      <c r="I243">
        <v>947.76</v>
      </c>
      <c r="J243" s="1" t="str">
        <f t="shared" si="9"/>
        <v>valid</v>
      </c>
      <c r="K243" t="e">
        <f t="shared" ca="1" si="10"/>
        <v>#NAME?</v>
      </c>
      <c r="L243" t="str">
        <f>IF(E243&gt;=80,"High Value","Normal")</f>
        <v>Normal</v>
      </c>
      <c r="M243" s="2" t="b">
        <f t="shared" si="11"/>
        <v>0</v>
      </c>
      <c r="N243" t="str">
        <f>VLOOKUP(A243,A242:H1242,8)</f>
        <v>Electronics</v>
      </c>
    </row>
    <row r="244" spans="1:14" x14ac:dyDescent="0.35">
      <c r="A244">
        <v>243</v>
      </c>
      <c r="B244">
        <v>25</v>
      </c>
      <c r="C244" t="s">
        <v>13</v>
      </c>
      <c r="D244">
        <v>109583</v>
      </c>
      <c r="E244">
        <v>6</v>
      </c>
      <c r="F244">
        <v>4</v>
      </c>
      <c r="G244">
        <v>30</v>
      </c>
      <c r="H244" t="s">
        <v>15</v>
      </c>
      <c r="I244">
        <v>923.64</v>
      </c>
      <c r="J244" s="1" t="str">
        <f t="shared" si="9"/>
        <v>valid</v>
      </c>
      <c r="K244" t="e">
        <f t="shared" ca="1" si="10"/>
        <v>#NAME?</v>
      </c>
      <c r="L244" t="str">
        <f>IF(E244&gt;=80,"High Value","Normal")</f>
        <v>Normal</v>
      </c>
      <c r="M244" s="2" t="b">
        <f t="shared" si="11"/>
        <v>0</v>
      </c>
      <c r="N244" t="str">
        <f>VLOOKUP(A244,A243:H1243,8)</f>
        <v>Electronics</v>
      </c>
    </row>
    <row r="245" spans="1:14" x14ac:dyDescent="0.35">
      <c r="A245">
        <v>244</v>
      </c>
      <c r="B245">
        <v>47</v>
      </c>
      <c r="C245" t="s">
        <v>9</v>
      </c>
      <c r="D245">
        <v>108356</v>
      </c>
      <c r="E245">
        <v>84</v>
      </c>
      <c r="F245">
        <v>6</v>
      </c>
      <c r="G245">
        <v>19</v>
      </c>
      <c r="H245" t="s">
        <v>14</v>
      </c>
      <c r="I245">
        <v>911</v>
      </c>
      <c r="J245" s="1" t="str">
        <f t="shared" si="9"/>
        <v>valid</v>
      </c>
      <c r="K245" t="e">
        <f t="shared" ca="1" si="10"/>
        <v>#NAME?</v>
      </c>
      <c r="L245" t="str">
        <f>IF(E245&gt;=80,"High Value","Normal")</f>
        <v>High Value</v>
      </c>
      <c r="M245" s="2" t="b">
        <f t="shared" si="11"/>
        <v>0</v>
      </c>
      <c r="N245" t="str">
        <f>VLOOKUP(A245,A244:H1244,8)</f>
        <v>Home &amp; Garden</v>
      </c>
    </row>
    <row r="246" spans="1:14" x14ac:dyDescent="0.35">
      <c r="A246">
        <v>245</v>
      </c>
      <c r="B246">
        <v>28</v>
      </c>
      <c r="C246" t="s">
        <v>13</v>
      </c>
      <c r="D246">
        <v>134414</v>
      </c>
      <c r="E246">
        <v>19</v>
      </c>
      <c r="F246">
        <v>5</v>
      </c>
      <c r="G246">
        <v>15</v>
      </c>
      <c r="H246" t="s">
        <v>14</v>
      </c>
      <c r="I246">
        <v>922.01</v>
      </c>
      <c r="J246" s="1" t="str">
        <f t="shared" si="9"/>
        <v>valid</v>
      </c>
      <c r="K246" t="e">
        <f t="shared" ca="1" si="10"/>
        <v>#NAME?</v>
      </c>
      <c r="L246" t="str">
        <f>IF(E246&gt;=80,"High Value","Normal")</f>
        <v>Normal</v>
      </c>
      <c r="M246" s="2" t="b">
        <f t="shared" si="11"/>
        <v>0</v>
      </c>
      <c r="N246" t="str">
        <f>VLOOKUP(A246,A245:H1245,8)</f>
        <v>Home &amp; Garden</v>
      </c>
    </row>
    <row r="247" spans="1:14" x14ac:dyDescent="0.35">
      <c r="A247">
        <v>246</v>
      </c>
      <c r="B247">
        <v>44</v>
      </c>
      <c r="C247" t="s">
        <v>16</v>
      </c>
      <c r="D247">
        <v>83880</v>
      </c>
      <c r="E247">
        <v>31</v>
      </c>
      <c r="F247">
        <v>6</v>
      </c>
      <c r="G247">
        <v>32</v>
      </c>
      <c r="H247" t="s">
        <v>15</v>
      </c>
      <c r="I247">
        <v>464.42</v>
      </c>
      <c r="J247" s="1" t="str">
        <f t="shared" si="9"/>
        <v>valid</v>
      </c>
      <c r="K247" t="e">
        <f t="shared" ca="1" si="10"/>
        <v>#NAME?</v>
      </c>
      <c r="L247" t="str">
        <f>IF(E247&gt;=80,"High Value","Normal")</f>
        <v>Normal</v>
      </c>
      <c r="M247" s="2" t="str">
        <f t="shared" si="11"/>
        <v>YES</v>
      </c>
      <c r="N247" t="str">
        <f>VLOOKUP(A247,A246:H1246,8)</f>
        <v>Electronics</v>
      </c>
    </row>
    <row r="248" spans="1:14" x14ac:dyDescent="0.35">
      <c r="A248">
        <v>247</v>
      </c>
      <c r="B248">
        <v>54</v>
      </c>
      <c r="C248" t="s">
        <v>13</v>
      </c>
      <c r="D248">
        <v>48896</v>
      </c>
      <c r="E248">
        <v>28</v>
      </c>
      <c r="F248">
        <v>9</v>
      </c>
      <c r="G248">
        <v>25</v>
      </c>
      <c r="H248" t="s">
        <v>11</v>
      </c>
      <c r="I248">
        <v>244.79</v>
      </c>
      <c r="J248" s="1" t="str">
        <f t="shared" si="9"/>
        <v>valid</v>
      </c>
      <c r="K248" t="e">
        <f t="shared" ca="1" si="10"/>
        <v>#NAME?</v>
      </c>
      <c r="L248" t="str">
        <f>IF(E248&gt;=80,"High Value","Normal")</f>
        <v>Normal</v>
      </c>
      <c r="M248" s="2" t="str">
        <f t="shared" si="11"/>
        <v>YES</v>
      </c>
      <c r="N248" t="str">
        <f>VLOOKUP(A248,A247:H1247,8)</f>
        <v>Sports</v>
      </c>
    </row>
    <row r="249" spans="1:14" x14ac:dyDescent="0.35">
      <c r="A249">
        <v>248</v>
      </c>
      <c r="B249">
        <v>28</v>
      </c>
      <c r="C249" t="s">
        <v>13</v>
      </c>
      <c r="D249">
        <v>48383</v>
      </c>
      <c r="E249">
        <v>57</v>
      </c>
      <c r="F249">
        <v>8</v>
      </c>
      <c r="G249">
        <v>35</v>
      </c>
      <c r="H249" t="s">
        <v>11</v>
      </c>
      <c r="I249">
        <v>17.97</v>
      </c>
      <c r="J249" s="1" t="str">
        <f t="shared" si="9"/>
        <v>valid</v>
      </c>
      <c r="K249" t="e">
        <f t="shared" ca="1" si="10"/>
        <v>#NAME?</v>
      </c>
      <c r="L249" t="str">
        <f>IF(E249&gt;=80,"High Value","Normal")</f>
        <v>Normal</v>
      </c>
      <c r="M249" s="2" t="b">
        <f t="shared" si="11"/>
        <v>0</v>
      </c>
      <c r="N249" t="str">
        <f>VLOOKUP(A249,A248:H1248,8)</f>
        <v>Sports</v>
      </c>
    </row>
    <row r="250" spans="1:14" x14ac:dyDescent="0.35">
      <c r="A250">
        <v>249</v>
      </c>
      <c r="B250">
        <v>54</v>
      </c>
      <c r="C250" t="s">
        <v>9</v>
      </c>
      <c r="D250">
        <v>134743</v>
      </c>
      <c r="E250">
        <v>98</v>
      </c>
      <c r="F250">
        <v>9</v>
      </c>
      <c r="G250">
        <v>42</v>
      </c>
      <c r="H250" t="s">
        <v>11</v>
      </c>
      <c r="I250">
        <v>894.21</v>
      </c>
      <c r="J250" s="1" t="str">
        <f t="shared" si="9"/>
        <v>valid</v>
      </c>
      <c r="K250" t="e">
        <f t="shared" ca="1" si="10"/>
        <v>#NAME?</v>
      </c>
      <c r="L250" t="str">
        <f>IF(E250&gt;=80,"High Value","Normal")</f>
        <v>High Value</v>
      </c>
      <c r="M250" s="2" t="str">
        <f t="shared" si="11"/>
        <v>YES</v>
      </c>
      <c r="N250" t="str">
        <f>VLOOKUP(A250,A249:H1249,8)</f>
        <v>Sports</v>
      </c>
    </row>
    <row r="251" spans="1:14" x14ac:dyDescent="0.35">
      <c r="A251">
        <v>250</v>
      </c>
      <c r="B251">
        <v>47</v>
      </c>
      <c r="C251" t="s">
        <v>16</v>
      </c>
      <c r="D251">
        <v>91491</v>
      </c>
      <c r="E251">
        <v>52</v>
      </c>
      <c r="F251">
        <v>5</v>
      </c>
      <c r="G251">
        <v>10</v>
      </c>
      <c r="H251" t="s">
        <v>14</v>
      </c>
      <c r="I251">
        <v>21.43</v>
      </c>
      <c r="J251" s="1" t="str">
        <f t="shared" si="9"/>
        <v>valid</v>
      </c>
      <c r="K251" t="e">
        <f t="shared" ca="1" si="10"/>
        <v>#NAME?</v>
      </c>
      <c r="L251" t="str">
        <f>IF(E251&gt;=80,"High Value","Normal")</f>
        <v>Normal</v>
      </c>
      <c r="M251" s="2" t="b">
        <f t="shared" si="11"/>
        <v>0</v>
      </c>
      <c r="N251" t="str">
        <f>VLOOKUP(A251,A250:H1250,8)</f>
        <v>Home &amp; Garden</v>
      </c>
    </row>
    <row r="252" spans="1:14" x14ac:dyDescent="0.35">
      <c r="A252">
        <v>251</v>
      </c>
      <c r="B252">
        <v>43</v>
      </c>
      <c r="C252" t="s">
        <v>16</v>
      </c>
      <c r="D252">
        <v>89688</v>
      </c>
      <c r="E252">
        <v>27</v>
      </c>
      <c r="F252">
        <v>10</v>
      </c>
      <c r="G252">
        <v>30</v>
      </c>
      <c r="H252" t="s">
        <v>15</v>
      </c>
      <c r="I252">
        <v>223.64</v>
      </c>
      <c r="J252" s="1" t="str">
        <f t="shared" si="9"/>
        <v>valid</v>
      </c>
      <c r="K252" t="e">
        <f t="shared" ca="1" si="10"/>
        <v>#NAME?</v>
      </c>
      <c r="L252" t="str">
        <f>IF(E252&gt;=80,"High Value","Normal")</f>
        <v>Normal</v>
      </c>
      <c r="M252" s="2" t="str">
        <f t="shared" si="11"/>
        <v>YES</v>
      </c>
      <c r="N252" t="str">
        <f>VLOOKUP(A252,A251:H1251,8)</f>
        <v>Electronics</v>
      </c>
    </row>
    <row r="253" spans="1:14" x14ac:dyDescent="0.35">
      <c r="A253">
        <v>252</v>
      </c>
      <c r="B253">
        <v>25</v>
      </c>
      <c r="C253" t="s">
        <v>13</v>
      </c>
      <c r="D253">
        <v>105185</v>
      </c>
      <c r="E253">
        <v>70</v>
      </c>
      <c r="F253">
        <v>2</v>
      </c>
      <c r="G253">
        <v>37</v>
      </c>
      <c r="H253" t="s">
        <v>10</v>
      </c>
      <c r="I253">
        <v>556.23</v>
      </c>
      <c r="J253" s="1" t="str">
        <f t="shared" si="9"/>
        <v>valid</v>
      </c>
      <c r="K253" t="e">
        <f t="shared" ca="1" si="10"/>
        <v>#NAME?</v>
      </c>
      <c r="L253" t="str">
        <f>IF(E253&gt;=80,"High Value","Normal")</f>
        <v>Normal</v>
      </c>
      <c r="M253" s="2" t="b">
        <f t="shared" si="11"/>
        <v>0</v>
      </c>
      <c r="N253" t="str">
        <f>VLOOKUP(A253,A252:H1252,8)</f>
        <v>Groceries</v>
      </c>
    </row>
    <row r="254" spans="1:14" x14ac:dyDescent="0.35">
      <c r="A254">
        <v>253</v>
      </c>
      <c r="B254">
        <v>49</v>
      </c>
      <c r="C254" t="s">
        <v>13</v>
      </c>
      <c r="D254">
        <v>129014</v>
      </c>
      <c r="E254">
        <v>25</v>
      </c>
      <c r="F254">
        <v>7</v>
      </c>
      <c r="G254">
        <v>21</v>
      </c>
      <c r="H254" t="s">
        <v>10</v>
      </c>
      <c r="I254">
        <v>271.52</v>
      </c>
      <c r="J254" s="1" t="str">
        <f t="shared" si="9"/>
        <v>valid</v>
      </c>
      <c r="K254" t="e">
        <f t="shared" ca="1" si="10"/>
        <v>#NAME?</v>
      </c>
      <c r="L254" t="str">
        <f>IF(E254&gt;=80,"High Value","Normal")</f>
        <v>Normal</v>
      </c>
      <c r="M254" s="2" t="str">
        <f t="shared" si="11"/>
        <v>YES</v>
      </c>
      <c r="N254" t="str">
        <f>VLOOKUP(A254,A253:H1253,8)</f>
        <v>Groceries</v>
      </c>
    </row>
    <row r="255" spans="1:14" x14ac:dyDescent="0.35">
      <c r="A255">
        <v>254</v>
      </c>
      <c r="B255">
        <v>66</v>
      </c>
      <c r="C255" t="s">
        <v>13</v>
      </c>
      <c r="D255">
        <v>112847</v>
      </c>
      <c r="E255">
        <v>98</v>
      </c>
      <c r="F255">
        <v>9</v>
      </c>
      <c r="G255">
        <v>44</v>
      </c>
      <c r="H255" t="s">
        <v>14</v>
      </c>
      <c r="I255">
        <v>827.44</v>
      </c>
      <c r="J255" s="1" t="str">
        <f t="shared" si="9"/>
        <v>valid</v>
      </c>
      <c r="K255" t="e">
        <f t="shared" ca="1" si="10"/>
        <v>#NAME?</v>
      </c>
      <c r="L255" t="str">
        <f>IF(E255&gt;=80,"High Value","Normal")</f>
        <v>High Value</v>
      </c>
      <c r="M255" s="2" t="str">
        <f t="shared" si="11"/>
        <v>YES</v>
      </c>
      <c r="N255" t="str">
        <f>VLOOKUP(A255,A254:H1254,8)</f>
        <v>Home &amp; Garden</v>
      </c>
    </row>
    <row r="256" spans="1:14" x14ac:dyDescent="0.35">
      <c r="A256">
        <v>255</v>
      </c>
      <c r="B256">
        <v>27</v>
      </c>
      <c r="C256" t="s">
        <v>13</v>
      </c>
      <c r="D256">
        <v>139589</v>
      </c>
      <c r="E256">
        <v>69</v>
      </c>
      <c r="F256">
        <v>8</v>
      </c>
      <c r="G256">
        <v>22</v>
      </c>
      <c r="H256" t="s">
        <v>12</v>
      </c>
      <c r="I256">
        <v>150.58000000000001</v>
      </c>
      <c r="J256" s="1" t="str">
        <f t="shared" si="9"/>
        <v>valid</v>
      </c>
      <c r="K256" t="e">
        <f t="shared" ca="1" si="10"/>
        <v>#NAME?</v>
      </c>
      <c r="L256" t="str">
        <f>IF(E256&gt;=80,"High Value","Normal")</f>
        <v>Normal</v>
      </c>
      <c r="M256" s="2" t="b">
        <f t="shared" si="11"/>
        <v>0</v>
      </c>
      <c r="N256" t="str">
        <f>VLOOKUP(A256,A255:H1255,8)</f>
        <v>Clothing</v>
      </c>
    </row>
    <row r="257" spans="1:14" x14ac:dyDescent="0.35">
      <c r="A257">
        <v>256</v>
      </c>
      <c r="B257">
        <v>46</v>
      </c>
      <c r="C257" t="s">
        <v>13</v>
      </c>
      <c r="D257">
        <v>38785</v>
      </c>
      <c r="E257">
        <v>55</v>
      </c>
      <c r="F257">
        <v>9</v>
      </c>
      <c r="G257">
        <v>22</v>
      </c>
      <c r="H257" t="s">
        <v>12</v>
      </c>
      <c r="I257">
        <v>486.25</v>
      </c>
      <c r="J257" s="1" t="str">
        <f t="shared" si="9"/>
        <v>valid</v>
      </c>
      <c r="K257" t="e">
        <f t="shared" ca="1" si="10"/>
        <v>#NAME?</v>
      </c>
      <c r="L257" t="str">
        <f>IF(E257&gt;=80,"High Value","Normal")</f>
        <v>Normal</v>
      </c>
      <c r="M257" s="2" t="str">
        <f t="shared" si="11"/>
        <v>YES</v>
      </c>
      <c r="N257" t="str">
        <f>VLOOKUP(A257,A256:H1256,8)</f>
        <v>Clothing</v>
      </c>
    </row>
    <row r="258" spans="1:14" x14ac:dyDescent="0.35">
      <c r="A258">
        <v>257</v>
      </c>
      <c r="B258">
        <v>26</v>
      </c>
      <c r="C258" t="s">
        <v>16</v>
      </c>
      <c r="D258">
        <v>134203</v>
      </c>
      <c r="E258">
        <v>19</v>
      </c>
      <c r="F258">
        <v>3</v>
      </c>
      <c r="G258">
        <v>28</v>
      </c>
      <c r="H258" t="s">
        <v>11</v>
      </c>
      <c r="I258">
        <v>935.64</v>
      </c>
      <c r="J258" s="1" t="str">
        <f t="shared" si="9"/>
        <v>valid</v>
      </c>
      <c r="K258" t="e">
        <f t="shared" ca="1" si="10"/>
        <v>#NAME?</v>
      </c>
      <c r="L258" t="str">
        <f>IF(E258&gt;=80,"High Value","Normal")</f>
        <v>Normal</v>
      </c>
      <c r="M258" s="2" t="b">
        <f t="shared" si="11"/>
        <v>0</v>
      </c>
      <c r="N258" t="str">
        <f>VLOOKUP(A258,A257:H1257,8)</f>
        <v>Sports</v>
      </c>
    </row>
    <row r="259" spans="1:14" x14ac:dyDescent="0.35">
      <c r="A259">
        <v>258</v>
      </c>
      <c r="B259">
        <v>37</v>
      </c>
      <c r="C259" t="s">
        <v>13</v>
      </c>
      <c r="D259">
        <v>86856</v>
      </c>
      <c r="E259">
        <v>74</v>
      </c>
      <c r="F259">
        <v>3</v>
      </c>
      <c r="G259">
        <v>10</v>
      </c>
      <c r="H259" t="s">
        <v>15</v>
      </c>
      <c r="I259">
        <v>624.29</v>
      </c>
      <c r="J259" s="1" t="str">
        <f t="shared" ref="J259:J322" si="12">IF(AND(B259&gt;=18, B259&lt;=100), "valid", "invalid")</f>
        <v>valid</v>
      </c>
      <c r="K259" t="e">
        <f t="shared" ref="K259:K322" ca="1" si="13">IFS(OR(C259= "Female",C259="female",C259= "F"), "Female", OR(C259="Male", C259="male",C259= "M"), "Male", TRUE, "Other")</f>
        <v>#NAME?</v>
      </c>
      <c r="L259" t="str">
        <f>IF(E259&gt;=80,"High Value","Normal")</f>
        <v>Normal</v>
      </c>
      <c r="M259" s="2" t="b">
        <f t="shared" ref="M259:M322" si="14">IF(AND(B259&gt;30,G259&gt;20), "YES")</f>
        <v>0</v>
      </c>
      <c r="N259" t="str">
        <f>VLOOKUP(A259,A258:H1258,8)</f>
        <v>Electronics</v>
      </c>
    </row>
    <row r="260" spans="1:14" x14ac:dyDescent="0.35">
      <c r="A260">
        <v>259</v>
      </c>
      <c r="B260">
        <v>68</v>
      </c>
      <c r="C260" t="s">
        <v>16</v>
      </c>
      <c r="D260">
        <v>49725</v>
      </c>
      <c r="E260">
        <v>59</v>
      </c>
      <c r="F260">
        <v>2</v>
      </c>
      <c r="G260">
        <v>35</v>
      </c>
      <c r="H260" t="s">
        <v>10</v>
      </c>
      <c r="I260">
        <v>12.36</v>
      </c>
      <c r="J260" s="1" t="str">
        <f t="shared" si="12"/>
        <v>valid</v>
      </c>
      <c r="K260" t="e">
        <f t="shared" ca="1" si="13"/>
        <v>#NAME?</v>
      </c>
      <c r="L260" t="str">
        <f>IF(E260&gt;=80,"High Value","Normal")</f>
        <v>Normal</v>
      </c>
      <c r="M260" s="2" t="str">
        <f t="shared" si="14"/>
        <v>YES</v>
      </c>
      <c r="N260" t="str">
        <f>VLOOKUP(A260,A259:H1259,8)</f>
        <v>Groceries</v>
      </c>
    </row>
    <row r="261" spans="1:14" x14ac:dyDescent="0.35">
      <c r="A261">
        <v>260</v>
      </c>
      <c r="B261">
        <v>39</v>
      </c>
      <c r="C261" t="s">
        <v>9</v>
      </c>
      <c r="D261">
        <v>56381</v>
      </c>
      <c r="E261">
        <v>82</v>
      </c>
      <c r="F261">
        <v>6</v>
      </c>
      <c r="G261">
        <v>19</v>
      </c>
      <c r="H261" t="s">
        <v>11</v>
      </c>
      <c r="I261">
        <v>759.6</v>
      </c>
      <c r="J261" s="1" t="str">
        <f t="shared" si="12"/>
        <v>valid</v>
      </c>
      <c r="K261" t="e">
        <f t="shared" ca="1" si="13"/>
        <v>#NAME?</v>
      </c>
      <c r="L261" t="str">
        <f>IF(E261&gt;=80,"High Value","Normal")</f>
        <v>High Value</v>
      </c>
      <c r="M261" s="2" t="b">
        <f t="shared" si="14"/>
        <v>0</v>
      </c>
      <c r="N261" t="str">
        <f>VLOOKUP(A261,A260:H1260,8)</f>
        <v>Sports</v>
      </c>
    </row>
    <row r="262" spans="1:14" x14ac:dyDescent="0.35">
      <c r="A262">
        <v>261</v>
      </c>
      <c r="B262">
        <v>39</v>
      </c>
      <c r="C262" t="s">
        <v>13</v>
      </c>
      <c r="D262">
        <v>117432</v>
      </c>
      <c r="E262">
        <v>96</v>
      </c>
      <c r="F262">
        <v>7</v>
      </c>
      <c r="G262">
        <v>41</v>
      </c>
      <c r="H262" t="s">
        <v>11</v>
      </c>
      <c r="I262">
        <v>25.44</v>
      </c>
      <c r="J262" s="1" t="str">
        <f t="shared" si="12"/>
        <v>valid</v>
      </c>
      <c r="K262" t="e">
        <f t="shared" ca="1" si="13"/>
        <v>#NAME?</v>
      </c>
      <c r="L262" t="str">
        <f>IF(E262&gt;=80,"High Value","Normal")</f>
        <v>High Value</v>
      </c>
      <c r="M262" s="2" t="str">
        <f t="shared" si="14"/>
        <v>YES</v>
      </c>
      <c r="N262" t="str">
        <f>VLOOKUP(A262,A261:H1261,8)</f>
        <v>Sports</v>
      </c>
    </row>
    <row r="263" spans="1:14" x14ac:dyDescent="0.35">
      <c r="A263">
        <v>262</v>
      </c>
      <c r="B263">
        <v>60</v>
      </c>
      <c r="C263" t="s">
        <v>13</v>
      </c>
      <c r="D263">
        <v>45827</v>
      </c>
      <c r="E263">
        <v>18</v>
      </c>
      <c r="F263">
        <v>2</v>
      </c>
      <c r="G263">
        <v>47</v>
      </c>
      <c r="H263" t="s">
        <v>15</v>
      </c>
      <c r="I263">
        <v>599.66</v>
      </c>
      <c r="J263" s="1" t="str">
        <f t="shared" si="12"/>
        <v>valid</v>
      </c>
      <c r="K263" t="e">
        <f t="shared" ca="1" si="13"/>
        <v>#NAME?</v>
      </c>
      <c r="L263" t="str">
        <f>IF(E263&gt;=80,"High Value","Normal")</f>
        <v>Normal</v>
      </c>
      <c r="M263" s="2" t="str">
        <f t="shared" si="14"/>
        <v>YES</v>
      </c>
      <c r="N263" t="str">
        <f>VLOOKUP(A263,A262:H1262,8)</f>
        <v>Electronics</v>
      </c>
    </row>
    <row r="264" spans="1:14" x14ac:dyDescent="0.35">
      <c r="A264">
        <v>263</v>
      </c>
      <c r="B264">
        <v>64</v>
      </c>
      <c r="C264" t="s">
        <v>13</v>
      </c>
      <c r="D264">
        <v>115366</v>
      </c>
      <c r="E264">
        <v>68</v>
      </c>
      <c r="F264">
        <v>9</v>
      </c>
      <c r="G264">
        <v>28</v>
      </c>
      <c r="H264" t="s">
        <v>15</v>
      </c>
      <c r="I264">
        <v>934.88</v>
      </c>
      <c r="J264" s="1" t="str">
        <f t="shared" si="12"/>
        <v>valid</v>
      </c>
      <c r="K264" t="e">
        <f t="shared" ca="1" si="13"/>
        <v>#NAME?</v>
      </c>
      <c r="L264" t="str">
        <f>IF(E264&gt;=80,"High Value","Normal")</f>
        <v>Normal</v>
      </c>
      <c r="M264" s="2" t="str">
        <f t="shared" si="14"/>
        <v>YES</v>
      </c>
      <c r="N264" t="str">
        <f>VLOOKUP(A264,A263:H1263,8)</f>
        <v>Electronics</v>
      </c>
    </row>
    <row r="265" spans="1:14" x14ac:dyDescent="0.35">
      <c r="A265">
        <v>264</v>
      </c>
      <c r="B265">
        <v>57</v>
      </c>
      <c r="C265" t="s">
        <v>9</v>
      </c>
      <c r="D265">
        <v>31451</v>
      </c>
      <c r="E265">
        <v>75</v>
      </c>
      <c r="F265">
        <v>3</v>
      </c>
      <c r="G265">
        <v>8</v>
      </c>
      <c r="H265" t="s">
        <v>15</v>
      </c>
      <c r="I265">
        <v>611.79</v>
      </c>
      <c r="J265" s="1" t="str">
        <f t="shared" si="12"/>
        <v>valid</v>
      </c>
      <c r="K265" t="e">
        <f t="shared" ca="1" si="13"/>
        <v>#NAME?</v>
      </c>
      <c r="L265" t="str">
        <f>IF(E265&gt;=80,"High Value","Normal")</f>
        <v>Normal</v>
      </c>
      <c r="M265" s="2" t="b">
        <f t="shared" si="14"/>
        <v>0</v>
      </c>
      <c r="N265" t="str">
        <f>VLOOKUP(A265,A264:H1264,8)</f>
        <v>Electronics</v>
      </c>
    </row>
    <row r="266" spans="1:14" x14ac:dyDescent="0.35">
      <c r="A266">
        <v>265</v>
      </c>
      <c r="B266">
        <v>63</v>
      </c>
      <c r="C266" t="s">
        <v>16</v>
      </c>
      <c r="D266">
        <v>142287</v>
      </c>
      <c r="E266">
        <v>77</v>
      </c>
      <c r="F266">
        <v>10</v>
      </c>
      <c r="G266">
        <v>44</v>
      </c>
      <c r="H266" t="s">
        <v>12</v>
      </c>
      <c r="I266">
        <v>785.29</v>
      </c>
      <c r="J266" s="1" t="str">
        <f t="shared" si="12"/>
        <v>valid</v>
      </c>
      <c r="K266" t="e">
        <f t="shared" ca="1" si="13"/>
        <v>#NAME?</v>
      </c>
      <c r="L266" t="str">
        <f>IF(E266&gt;=80,"High Value","Normal")</f>
        <v>Normal</v>
      </c>
      <c r="M266" s="2" t="str">
        <f t="shared" si="14"/>
        <v>YES</v>
      </c>
      <c r="N266" t="str">
        <f>VLOOKUP(A266,A265:H1265,8)</f>
        <v>Clothing</v>
      </c>
    </row>
    <row r="267" spans="1:14" x14ac:dyDescent="0.35">
      <c r="A267">
        <v>266</v>
      </c>
      <c r="B267">
        <v>53</v>
      </c>
      <c r="C267" t="s">
        <v>13</v>
      </c>
      <c r="D267">
        <v>84616</v>
      </c>
      <c r="E267">
        <v>68</v>
      </c>
      <c r="F267">
        <v>10</v>
      </c>
      <c r="G267">
        <v>8</v>
      </c>
      <c r="H267" t="s">
        <v>14</v>
      </c>
      <c r="I267">
        <v>543.30999999999995</v>
      </c>
      <c r="J267" s="1" t="str">
        <f t="shared" si="12"/>
        <v>valid</v>
      </c>
      <c r="K267" t="e">
        <f t="shared" ca="1" si="13"/>
        <v>#NAME?</v>
      </c>
      <c r="L267" t="str">
        <f>IF(E267&gt;=80,"High Value","Normal")</f>
        <v>Normal</v>
      </c>
      <c r="M267" s="2" t="b">
        <f t="shared" si="14"/>
        <v>0</v>
      </c>
      <c r="N267" t="str">
        <f>VLOOKUP(A267,A266:H1266,8)</f>
        <v>Home &amp; Garden</v>
      </c>
    </row>
    <row r="268" spans="1:14" x14ac:dyDescent="0.35">
      <c r="A268">
        <v>267</v>
      </c>
      <c r="B268">
        <v>57</v>
      </c>
      <c r="C268" t="s">
        <v>9</v>
      </c>
      <c r="D268">
        <v>114972</v>
      </c>
      <c r="E268">
        <v>42</v>
      </c>
      <c r="F268">
        <v>9</v>
      </c>
      <c r="G268">
        <v>12</v>
      </c>
      <c r="H268" t="s">
        <v>14</v>
      </c>
      <c r="I268">
        <v>999.74</v>
      </c>
      <c r="J268" s="1" t="str">
        <f t="shared" si="12"/>
        <v>valid</v>
      </c>
      <c r="K268" t="e">
        <f t="shared" ca="1" si="13"/>
        <v>#NAME?</v>
      </c>
      <c r="L268" t="str">
        <f>IF(E268&gt;=80,"High Value","Normal")</f>
        <v>Normal</v>
      </c>
      <c r="M268" s="2" t="b">
        <f t="shared" si="14"/>
        <v>0</v>
      </c>
      <c r="N268" t="str">
        <f>VLOOKUP(A268,A267:H1267,8)</f>
        <v>Home &amp; Garden</v>
      </c>
    </row>
    <row r="269" spans="1:14" x14ac:dyDescent="0.35">
      <c r="A269">
        <v>268</v>
      </c>
      <c r="B269">
        <v>23</v>
      </c>
      <c r="C269" t="s">
        <v>13</v>
      </c>
      <c r="D269">
        <v>101024</v>
      </c>
      <c r="E269">
        <v>29</v>
      </c>
      <c r="F269">
        <v>3</v>
      </c>
      <c r="G269">
        <v>41</v>
      </c>
      <c r="H269" t="s">
        <v>10</v>
      </c>
      <c r="I269">
        <v>484.85</v>
      </c>
      <c r="J269" s="1" t="str">
        <f t="shared" si="12"/>
        <v>valid</v>
      </c>
      <c r="K269" t="e">
        <f t="shared" ca="1" si="13"/>
        <v>#NAME?</v>
      </c>
      <c r="L269" t="str">
        <f>IF(E269&gt;=80,"High Value","Normal")</f>
        <v>Normal</v>
      </c>
      <c r="M269" s="2" t="b">
        <f t="shared" si="14"/>
        <v>0</v>
      </c>
      <c r="N269" t="str">
        <f>VLOOKUP(A269,A268:H1268,8)</f>
        <v>Groceries</v>
      </c>
    </row>
    <row r="270" spans="1:14" x14ac:dyDescent="0.35">
      <c r="A270">
        <v>269</v>
      </c>
      <c r="B270">
        <v>33</v>
      </c>
      <c r="C270" t="s">
        <v>9</v>
      </c>
      <c r="D270">
        <v>118116</v>
      </c>
      <c r="E270">
        <v>100</v>
      </c>
      <c r="F270">
        <v>9</v>
      </c>
      <c r="G270">
        <v>48</v>
      </c>
      <c r="H270" t="s">
        <v>11</v>
      </c>
      <c r="I270">
        <v>21.9</v>
      </c>
      <c r="J270" s="1" t="str">
        <f t="shared" si="12"/>
        <v>valid</v>
      </c>
      <c r="K270" t="e">
        <f t="shared" ca="1" si="13"/>
        <v>#NAME?</v>
      </c>
      <c r="L270" t="str">
        <f>IF(E270&gt;=80,"High Value","Normal")</f>
        <v>High Value</v>
      </c>
      <c r="M270" s="2" t="str">
        <f t="shared" si="14"/>
        <v>YES</v>
      </c>
      <c r="N270" t="str">
        <f>VLOOKUP(A270,A269:H1269,8)</f>
        <v>Sports</v>
      </c>
    </row>
    <row r="271" spans="1:14" x14ac:dyDescent="0.35">
      <c r="A271">
        <v>270</v>
      </c>
      <c r="B271">
        <v>28</v>
      </c>
      <c r="C271" t="s">
        <v>9</v>
      </c>
      <c r="D271">
        <v>49020</v>
      </c>
      <c r="E271">
        <v>75</v>
      </c>
      <c r="F271">
        <v>9</v>
      </c>
      <c r="G271">
        <v>49</v>
      </c>
      <c r="H271" t="s">
        <v>15</v>
      </c>
      <c r="I271">
        <v>109.03</v>
      </c>
      <c r="J271" s="1" t="str">
        <f t="shared" si="12"/>
        <v>valid</v>
      </c>
      <c r="K271" t="e">
        <f t="shared" ca="1" si="13"/>
        <v>#NAME?</v>
      </c>
      <c r="L271" t="str">
        <f>IF(E271&gt;=80,"High Value","Normal")</f>
        <v>Normal</v>
      </c>
      <c r="M271" s="2" t="b">
        <f t="shared" si="14"/>
        <v>0</v>
      </c>
      <c r="N271" t="str">
        <f>VLOOKUP(A271,A270:H1270,8)</f>
        <v>Electronics</v>
      </c>
    </row>
    <row r="272" spans="1:14" x14ac:dyDescent="0.35">
      <c r="A272">
        <v>271</v>
      </c>
      <c r="B272">
        <v>69</v>
      </c>
      <c r="C272" t="s">
        <v>16</v>
      </c>
      <c r="D272">
        <v>47458</v>
      </c>
      <c r="E272">
        <v>14</v>
      </c>
      <c r="F272">
        <v>2</v>
      </c>
      <c r="G272">
        <v>10</v>
      </c>
      <c r="H272" t="s">
        <v>10</v>
      </c>
      <c r="I272">
        <v>874.32</v>
      </c>
      <c r="J272" s="1" t="str">
        <f t="shared" si="12"/>
        <v>valid</v>
      </c>
      <c r="K272" t="e">
        <f t="shared" ca="1" si="13"/>
        <v>#NAME?</v>
      </c>
      <c r="L272" t="str">
        <f>IF(E272&gt;=80,"High Value","Normal")</f>
        <v>Normal</v>
      </c>
      <c r="M272" s="2" t="b">
        <f t="shared" si="14"/>
        <v>0</v>
      </c>
      <c r="N272" t="str">
        <f>VLOOKUP(A272,A271:H1271,8)</f>
        <v>Groceries</v>
      </c>
    </row>
    <row r="273" spans="1:14" x14ac:dyDescent="0.35">
      <c r="A273">
        <v>272</v>
      </c>
      <c r="B273">
        <v>52</v>
      </c>
      <c r="C273" t="s">
        <v>9</v>
      </c>
      <c r="D273">
        <v>104033</v>
      </c>
      <c r="E273">
        <v>6</v>
      </c>
      <c r="F273">
        <v>5</v>
      </c>
      <c r="G273">
        <v>15</v>
      </c>
      <c r="H273" t="s">
        <v>12</v>
      </c>
      <c r="I273">
        <v>192.31</v>
      </c>
      <c r="J273" s="1" t="str">
        <f t="shared" si="12"/>
        <v>valid</v>
      </c>
      <c r="K273" t="e">
        <f t="shared" ca="1" si="13"/>
        <v>#NAME?</v>
      </c>
      <c r="L273" t="str">
        <f>IF(E273&gt;=80,"High Value","Normal")</f>
        <v>Normal</v>
      </c>
      <c r="M273" s="2" t="b">
        <f t="shared" si="14"/>
        <v>0</v>
      </c>
      <c r="N273" t="str">
        <f>VLOOKUP(A273,A272:H1272,8)</f>
        <v>Clothing</v>
      </c>
    </row>
    <row r="274" spans="1:14" x14ac:dyDescent="0.35">
      <c r="A274">
        <v>273</v>
      </c>
      <c r="B274">
        <v>47</v>
      </c>
      <c r="C274" t="s">
        <v>13</v>
      </c>
      <c r="D274">
        <v>84117</v>
      </c>
      <c r="E274">
        <v>74</v>
      </c>
      <c r="F274">
        <v>9</v>
      </c>
      <c r="G274">
        <v>17</v>
      </c>
      <c r="H274" t="s">
        <v>14</v>
      </c>
      <c r="I274">
        <v>886.08</v>
      </c>
      <c r="J274" s="1" t="str">
        <f t="shared" si="12"/>
        <v>valid</v>
      </c>
      <c r="K274" t="e">
        <f t="shared" ca="1" si="13"/>
        <v>#NAME?</v>
      </c>
      <c r="L274" t="str">
        <f>IF(E274&gt;=80,"High Value","Normal")</f>
        <v>Normal</v>
      </c>
      <c r="M274" s="2" t="b">
        <f t="shared" si="14"/>
        <v>0</v>
      </c>
      <c r="N274" t="str">
        <f>VLOOKUP(A274,A273:H1273,8)</f>
        <v>Home &amp; Garden</v>
      </c>
    </row>
    <row r="275" spans="1:14" x14ac:dyDescent="0.35">
      <c r="A275">
        <v>274</v>
      </c>
      <c r="B275">
        <v>60</v>
      </c>
      <c r="C275" t="s">
        <v>13</v>
      </c>
      <c r="D275">
        <v>107232</v>
      </c>
      <c r="E275">
        <v>68</v>
      </c>
      <c r="F275">
        <v>4</v>
      </c>
      <c r="G275">
        <v>48</v>
      </c>
      <c r="H275" t="s">
        <v>12</v>
      </c>
      <c r="I275">
        <v>730.8</v>
      </c>
      <c r="J275" s="1" t="str">
        <f t="shared" si="12"/>
        <v>valid</v>
      </c>
      <c r="K275" t="e">
        <f t="shared" ca="1" si="13"/>
        <v>#NAME?</v>
      </c>
      <c r="L275" t="str">
        <f>IF(E275&gt;=80,"High Value","Normal")</f>
        <v>Normal</v>
      </c>
      <c r="M275" s="2" t="str">
        <f t="shared" si="14"/>
        <v>YES</v>
      </c>
      <c r="N275" t="str">
        <f>VLOOKUP(A275,A274:H1274,8)</f>
        <v>Clothing</v>
      </c>
    </row>
    <row r="276" spans="1:14" x14ac:dyDescent="0.35">
      <c r="A276">
        <v>275</v>
      </c>
      <c r="B276">
        <v>22</v>
      </c>
      <c r="C276" t="s">
        <v>13</v>
      </c>
      <c r="D276">
        <v>128623</v>
      </c>
      <c r="E276">
        <v>88</v>
      </c>
      <c r="F276">
        <v>5</v>
      </c>
      <c r="G276">
        <v>20</v>
      </c>
      <c r="H276" t="s">
        <v>12</v>
      </c>
      <c r="I276">
        <v>609.57000000000005</v>
      </c>
      <c r="J276" s="1" t="str">
        <f t="shared" si="12"/>
        <v>valid</v>
      </c>
      <c r="K276" t="e">
        <f t="shared" ca="1" si="13"/>
        <v>#NAME?</v>
      </c>
      <c r="L276" t="str">
        <f>IF(E276&gt;=80,"High Value","Normal")</f>
        <v>High Value</v>
      </c>
      <c r="M276" s="2" t="b">
        <f t="shared" si="14"/>
        <v>0</v>
      </c>
      <c r="N276" t="str">
        <f>VLOOKUP(A276,A275:H1275,8)</f>
        <v>Clothing</v>
      </c>
    </row>
    <row r="277" spans="1:14" x14ac:dyDescent="0.35">
      <c r="A277">
        <v>276</v>
      </c>
      <c r="B277">
        <v>39</v>
      </c>
      <c r="C277" t="s">
        <v>9</v>
      </c>
      <c r="D277">
        <v>39931</v>
      </c>
      <c r="E277">
        <v>43</v>
      </c>
      <c r="F277">
        <v>1</v>
      </c>
      <c r="G277">
        <v>28</v>
      </c>
      <c r="H277" t="s">
        <v>10</v>
      </c>
      <c r="I277">
        <v>261.36</v>
      </c>
      <c r="J277" s="1" t="str">
        <f t="shared" si="12"/>
        <v>valid</v>
      </c>
      <c r="K277" t="e">
        <f t="shared" ca="1" si="13"/>
        <v>#NAME?</v>
      </c>
      <c r="L277" t="str">
        <f>IF(E277&gt;=80,"High Value","Normal")</f>
        <v>Normal</v>
      </c>
      <c r="M277" s="2" t="str">
        <f t="shared" si="14"/>
        <v>YES</v>
      </c>
      <c r="N277" t="str">
        <f>VLOOKUP(A277,A276:H1276,8)</f>
        <v>Groceries</v>
      </c>
    </row>
    <row r="278" spans="1:14" x14ac:dyDescent="0.35">
      <c r="A278">
        <v>277</v>
      </c>
      <c r="B278">
        <v>53</v>
      </c>
      <c r="C278" t="s">
        <v>13</v>
      </c>
      <c r="D278">
        <v>94392</v>
      </c>
      <c r="E278">
        <v>38</v>
      </c>
      <c r="F278">
        <v>5</v>
      </c>
      <c r="G278">
        <v>11</v>
      </c>
      <c r="H278" t="s">
        <v>12</v>
      </c>
      <c r="I278">
        <v>997.24</v>
      </c>
      <c r="J278" s="1" t="str">
        <f t="shared" si="12"/>
        <v>valid</v>
      </c>
      <c r="K278" t="e">
        <f t="shared" ca="1" si="13"/>
        <v>#NAME?</v>
      </c>
      <c r="L278" t="str">
        <f>IF(E278&gt;=80,"High Value","Normal")</f>
        <v>Normal</v>
      </c>
      <c r="M278" s="2" t="b">
        <f t="shared" si="14"/>
        <v>0</v>
      </c>
      <c r="N278" t="str">
        <f>VLOOKUP(A278,A277:H1277,8)</f>
        <v>Clothing</v>
      </c>
    </row>
    <row r="279" spans="1:14" x14ac:dyDescent="0.35">
      <c r="A279">
        <v>278</v>
      </c>
      <c r="B279">
        <v>63</v>
      </c>
      <c r="C279" t="s">
        <v>16</v>
      </c>
      <c r="D279">
        <v>48225</v>
      </c>
      <c r="E279">
        <v>24</v>
      </c>
      <c r="F279">
        <v>6</v>
      </c>
      <c r="G279">
        <v>14</v>
      </c>
      <c r="H279" t="s">
        <v>12</v>
      </c>
      <c r="I279">
        <v>764.05</v>
      </c>
      <c r="J279" s="1" t="str">
        <f t="shared" si="12"/>
        <v>valid</v>
      </c>
      <c r="K279" t="e">
        <f t="shared" ca="1" si="13"/>
        <v>#NAME?</v>
      </c>
      <c r="L279" t="str">
        <f>IF(E279&gt;=80,"High Value","Normal")</f>
        <v>Normal</v>
      </c>
      <c r="M279" s="2" t="b">
        <f t="shared" si="14"/>
        <v>0</v>
      </c>
      <c r="N279" t="str">
        <f>VLOOKUP(A279,A278:H1278,8)</f>
        <v>Clothing</v>
      </c>
    </row>
    <row r="280" spans="1:14" x14ac:dyDescent="0.35">
      <c r="A280">
        <v>279</v>
      </c>
      <c r="B280">
        <v>47</v>
      </c>
      <c r="C280" t="s">
        <v>13</v>
      </c>
      <c r="D280">
        <v>95656</v>
      </c>
      <c r="E280">
        <v>63</v>
      </c>
      <c r="F280">
        <v>2</v>
      </c>
      <c r="G280">
        <v>30</v>
      </c>
      <c r="H280" t="s">
        <v>15</v>
      </c>
      <c r="I280">
        <v>634.19000000000005</v>
      </c>
      <c r="J280" s="1" t="str">
        <f t="shared" si="12"/>
        <v>valid</v>
      </c>
      <c r="K280" t="e">
        <f t="shared" ca="1" si="13"/>
        <v>#NAME?</v>
      </c>
      <c r="L280" t="str">
        <f>IF(E280&gt;=80,"High Value","Normal")</f>
        <v>Normal</v>
      </c>
      <c r="M280" s="2" t="str">
        <f t="shared" si="14"/>
        <v>YES</v>
      </c>
      <c r="N280" t="str">
        <f>VLOOKUP(A280,A279:H1279,8)</f>
        <v>Electronics</v>
      </c>
    </row>
    <row r="281" spans="1:14" x14ac:dyDescent="0.35">
      <c r="A281">
        <v>280</v>
      </c>
      <c r="B281">
        <v>53</v>
      </c>
      <c r="C281" t="s">
        <v>9</v>
      </c>
      <c r="D281">
        <v>61826</v>
      </c>
      <c r="E281">
        <v>96</v>
      </c>
      <c r="F281">
        <v>1</v>
      </c>
      <c r="G281">
        <v>14</v>
      </c>
      <c r="H281" t="s">
        <v>12</v>
      </c>
      <c r="I281">
        <v>577</v>
      </c>
      <c r="J281" s="1" t="str">
        <f t="shared" si="12"/>
        <v>valid</v>
      </c>
      <c r="K281" t="e">
        <f t="shared" ca="1" si="13"/>
        <v>#NAME?</v>
      </c>
      <c r="L281" t="str">
        <f>IF(E281&gt;=80,"High Value","Normal")</f>
        <v>High Value</v>
      </c>
      <c r="M281" s="2" t="b">
        <f t="shared" si="14"/>
        <v>0</v>
      </c>
      <c r="N281" t="str">
        <f>VLOOKUP(A281,A280:H1280,8)</f>
        <v>Clothing</v>
      </c>
    </row>
    <row r="282" spans="1:14" x14ac:dyDescent="0.35">
      <c r="A282">
        <v>281</v>
      </c>
      <c r="B282">
        <v>61</v>
      </c>
      <c r="C282" t="s">
        <v>13</v>
      </c>
      <c r="D282">
        <v>47689</v>
      </c>
      <c r="E282">
        <v>46</v>
      </c>
      <c r="F282">
        <v>4</v>
      </c>
      <c r="G282">
        <v>42</v>
      </c>
      <c r="H282" t="s">
        <v>14</v>
      </c>
      <c r="I282">
        <v>802.44</v>
      </c>
      <c r="J282" s="1" t="str">
        <f t="shared" si="12"/>
        <v>valid</v>
      </c>
      <c r="K282" t="e">
        <f t="shared" ca="1" si="13"/>
        <v>#NAME?</v>
      </c>
      <c r="L282" t="str">
        <f>IF(E282&gt;=80,"High Value","Normal")</f>
        <v>Normal</v>
      </c>
      <c r="M282" s="2" t="str">
        <f t="shared" si="14"/>
        <v>YES</v>
      </c>
      <c r="N282" t="str">
        <f>VLOOKUP(A282,A281:H1281,8)</f>
        <v>Home &amp; Garden</v>
      </c>
    </row>
    <row r="283" spans="1:14" x14ac:dyDescent="0.35">
      <c r="A283">
        <v>282</v>
      </c>
      <c r="B283">
        <v>34</v>
      </c>
      <c r="C283" t="s">
        <v>16</v>
      </c>
      <c r="D283">
        <v>68250</v>
      </c>
      <c r="E283">
        <v>9</v>
      </c>
      <c r="F283">
        <v>10</v>
      </c>
      <c r="G283">
        <v>26</v>
      </c>
      <c r="H283" t="s">
        <v>12</v>
      </c>
      <c r="I283">
        <v>835.06</v>
      </c>
      <c r="J283" s="1" t="str">
        <f t="shared" si="12"/>
        <v>valid</v>
      </c>
      <c r="K283" t="e">
        <f t="shared" ca="1" si="13"/>
        <v>#NAME?</v>
      </c>
      <c r="L283" t="str">
        <f>IF(E283&gt;=80,"High Value","Normal")</f>
        <v>Normal</v>
      </c>
      <c r="M283" s="2" t="str">
        <f t="shared" si="14"/>
        <v>YES</v>
      </c>
      <c r="N283" t="str">
        <f>VLOOKUP(A283,A282:H1282,8)</f>
        <v>Clothing</v>
      </c>
    </row>
    <row r="284" spans="1:14" x14ac:dyDescent="0.35">
      <c r="A284">
        <v>283</v>
      </c>
      <c r="B284">
        <v>33</v>
      </c>
      <c r="C284" t="s">
        <v>16</v>
      </c>
      <c r="D284">
        <v>113187</v>
      </c>
      <c r="E284">
        <v>27</v>
      </c>
      <c r="F284">
        <v>9</v>
      </c>
      <c r="G284">
        <v>46</v>
      </c>
      <c r="H284" t="s">
        <v>15</v>
      </c>
      <c r="I284">
        <v>886.3</v>
      </c>
      <c r="J284" s="1" t="str">
        <f t="shared" si="12"/>
        <v>valid</v>
      </c>
      <c r="K284" t="e">
        <f t="shared" ca="1" si="13"/>
        <v>#NAME?</v>
      </c>
      <c r="L284" t="str">
        <f>IF(E284&gt;=80,"High Value","Normal")</f>
        <v>Normal</v>
      </c>
      <c r="M284" s="2" t="str">
        <f t="shared" si="14"/>
        <v>YES</v>
      </c>
      <c r="N284" t="str">
        <f>VLOOKUP(A284,A283:H1283,8)</f>
        <v>Electronics</v>
      </c>
    </row>
    <row r="285" spans="1:14" x14ac:dyDescent="0.35">
      <c r="A285">
        <v>284</v>
      </c>
      <c r="B285">
        <v>43</v>
      </c>
      <c r="C285" t="s">
        <v>16</v>
      </c>
      <c r="D285">
        <v>77006</v>
      </c>
      <c r="E285">
        <v>27</v>
      </c>
      <c r="F285">
        <v>3</v>
      </c>
      <c r="G285">
        <v>36</v>
      </c>
      <c r="H285" t="s">
        <v>15</v>
      </c>
      <c r="I285">
        <v>223.98</v>
      </c>
      <c r="J285" s="1" t="str">
        <f t="shared" si="12"/>
        <v>valid</v>
      </c>
      <c r="K285" t="e">
        <f t="shared" ca="1" si="13"/>
        <v>#NAME?</v>
      </c>
      <c r="L285" t="str">
        <f>IF(E285&gt;=80,"High Value","Normal")</f>
        <v>Normal</v>
      </c>
      <c r="M285" s="2" t="str">
        <f t="shared" si="14"/>
        <v>YES</v>
      </c>
      <c r="N285" t="str">
        <f>VLOOKUP(A285,A284:H1284,8)</f>
        <v>Electronics</v>
      </c>
    </row>
    <row r="286" spans="1:14" x14ac:dyDescent="0.35">
      <c r="A286">
        <v>285</v>
      </c>
      <c r="B286">
        <v>63</v>
      </c>
      <c r="C286" t="s">
        <v>9</v>
      </c>
      <c r="D286">
        <v>121652</v>
      </c>
      <c r="E286">
        <v>20</v>
      </c>
      <c r="F286">
        <v>1</v>
      </c>
      <c r="G286">
        <v>26</v>
      </c>
      <c r="H286" t="s">
        <v>11</v>
      </c>
      <c r="I286">
        <v>169.58</v>
      </c>
      <c r="J286" s="1" t="str">
        <f t="shared" si="12"/>
        <v>valid</v>
      </c>
      <c r="K286" t="e">
        <f t="shared" ca="1" si="13"/>
        <v>#NAME?</v>
      </c>
      <c r="L286" t="str">
        <f>IF(E286&gt;=80,"High Value","Normal")</f>
        <v>Normal</v>
      </c>
      <c r="M286" s="2" t="str">
        <f t="shared" si="14"/>
        <v>YES</v>
      </c>
      <c r="N286" t="str">
        <f>VLOOKUP(A286,A285:H1285,8)</f>
        <v>Sports</v>
      </c>
    </row>
    <row r="287" spans="1:14" x14ac:dyDescent="0.35">
      <c r="A287">
        <v>286</v>
      </c>
      <c r="B287">
        <v>51</v>
      </c>
      <c r="C287" t="s">
        <v>16</v>
      </c>
      <c r="D287">
        <v>124670</v>
      </c>
      <c r="E287">
        <v>66</v>
      </c>
      <c r="F287">
        <v>2</v>
      </c>
      <c r="G287">
        <v>43</v>
      </c>
      <c r="H287" t="s">
        <v>12</v>
      </c>
      <c r="I287">
        <v>184.8</v>
      </c>
      <c r="J287" s="1" t="str">
        <f t="shared" si="12"/>
        <v>valid</v>
      </c>
      <c r="K287" t="e">
        <f t="shared" ca="1" si="13"/>
        <v>#NAME?</v>
      </c>
      <c r="L287" t="str">
        <f>IF(E287&gt;=80,"High Value","Normal")</f>
        <v>Normal</v>
      </c>
      <c r="M287" s="2" t="str">
        <f t="shared" si="14"/>
        <v>YES</v>
      </c>
      <c r="N287" t="str">
        <f>VLOOKUP(A287,A286:H1286,8)</f>
        <v>Clothing</v>
      </c>
    </row>
    <row r="288" spans="1:14" x14ac:dyDescent="0.35">
      <c r="A288">
        <v>287</v>
      </c>
      <c r="B288">
        <v>31</v>
      </c>
      <c r="C288" t="s">
        <v>16</v>
      </c>
      <c r="D288">
        <v>119460</v>
      </c>
      <c r="E288">
        <v>69</v>
      </c>
      <c r="F288">
        <v>2</v>
      </c>
      <c r="G288">
        <v>22</v>
      </c>
      <c r="H288" t="s">
        <v>12</v>
      </c>
      <c r="I288">
        <v>486.21</v>
      </c>
      <c r="J288" s="1" t="str">
        <f t="shared" si="12"/>
        <v>valid</v>
      </c>
      <c r="K288" t="e">
        <f t="shared" ca="1" si="13"/>
        <v>#NAME?</v>
      </c>
      <c r="L288" t="str">
        <f>IF(E288&gt;=80,"High Value","Normal")</f>
        <v>Normal</v>
      </c>
      <c r="M288" s="2" t="str">
        <f t="shared" si="14"/>
        <v>YES</v>
      </c>
      <c r="N288" t="str">
        <f>VLOOKUP(A288,A287:H1287,8)</f>
        <v>Clothing</v>
      </c>
    </row>
    <row r="289" spans="1:14" x14ac:dyDescent="0.35">
      <c r="A289">
        <v>288</v>
      </c>
      <c r="B289">
        <v>56</v>
      </c>
      <c r="C289" t="s">
        <v>16</v>
      </c>
      <c r="D289">
        <v>117922</v>
      </c>
      <c r="E289">
        <v>69</v>
      </c>
      <c r="F289">
        <v>2</v>
      </c>
      <c r="G289">
        <v>41</v>
      </c>
      <c r="H289" t="s">
        <v>14</v>
      </c>
      <c r="I289">
        <v>98.83</v>
      </c>
      <c r="J289" s="1" t="str">
        <f t="shared" si="12"/>
        <v>valid</v>
      </c>
      <c r="K289" t="e">
        <f t="shared" ca="1" si="13"/>
        <v>#NAME?</v>
      </c>
      <c r="L289" t="str">
        <f>IF(E289&gt;=80,"High Value","Normal")</f>
        <v>Normal</v>
      </c>
      <c r="M289" s="2" t="str">
        <f t="shared" si="14"/>
        <v>YES</v>
      </c>
      <c r="N289" t="str">
        <f>VLOOKUP(A289,A288:H1288,8)</f>
        <v>Home &amp; Garden</v>
      </c>
    </row>
    <row r="290" spans="1:14" x14ac:dyDescent="0.35">
      <c r="A290">
        <v>289</v>
      </c>
      <c r="B290">
        <v>38</v>
      </c>
      <c r="C290" t="s">
        <v>16</v>
      </c>
      <c r="D290">
        <v>84577</v>
      </c>
      <c r="E290">
        <v>70</v>
      </c>
      <c r="F290">
        <v>7</v>
      </c>
      <c r="G290">
        <v>27</v>
      </c>
      <c r="H290" t="s">
        <v>11</v>
      </c>
      <c r="I290">
        <v>631.28</v>
      </c>
      <c r="J290" s="1" t="str">
        <f t="shared" si="12"/>
        <v>valid</v>
      </c>
      <c r="K290" t="e">
        <f t="shared" ca="1" si="13"/>
        <v>#NAME?</v>
      </c>
      <c r="L290" t="str">
        <f>IF(E290&gt;=80,"High Value","Normal")</f>
        <v>Normal</v>
      </c>
      <c r="M290" s="2" t="str">
        <f t="shared" si="14"/>
        <v>YES</v>
      </c>
      <c r="N290" t="str">
        <f>VLOOKUP(A290,A289:H1289,8)</f>
        <v>Sports</v>
      </c>
    </row>
    <row r="291" spans="1:14" x14ac:dyDescent="0.35">
      <c r="A291">
        <v>290</v>
      </c>
      <c r="B291">
        <v>43</v>
      </c>
      <c r="C291" t="s">
        <v>16</v>
      </c>
      <c r="D291">
        <v>64136</v>
      </c>
      <c r="E291">
        <v>61</v>
      </c>
      <c r="F291">
        <v>1</v>
      </c>
      <c r="G291">
        <v>19</v>
      </c>
      <c r="H291" t="s">
        <v>15</v>
      </c>
      <c r="I291">
        <v>680.92</v>
      </c>
      <c r="J291" s="1" t="str">
        <f t="shared" si="12"/>
        <v>valid</v>
      </c>
      <c r="K291" t="e">
        <f t="shared" ca="1" si="13"/>
        <v>#NAME?</v>
      </c>
      <c r="L291" t="str">
        <f>IF(E291&gt;=80,"High Value","Normal")</f>
        <v>Normal</v>
      </c>
      <c r="M291" s="2" t="b">
        <f t="shared" si="14"/>
        <v>0</v>
      </c>
      <c r="N291" t="str">
        <f>VLOOKUP(A291,A290:H1290,8)</f>
        <v>Electronics</v>
      </c>
    </row>
    <row r="292" spans="1:14" x14ac:dyDescent="0.35">
      <c r="A292">
        <v>291</v>
      </c>
      <c r="B292">
        <v>45</v>
      </c>
      <c r="C292" t="s">
        <v>9</v>
      </c>
      <c r="D292">
        <v>57845</v>
      </c>
      <c r="E292">
        <v>32</v>
      </c>
      <c r="F292">
        <v>6</v>
      </c>
      <c r="G292">
        <v>41</v>
      </c>
      <c r="H292" t="s">
        <v>12</v>
      </c>
      <c r="I292">
        <v>934.34</v>
      </c>
      <c r="J292" s="1" t="str">
        <f t="shared" si="12"/>
        <v>valid</v>
      </c>
      <c r="K292" t="e">
        <f t="shared" ca="1" si="13"/>
        <v>#NAME?</v>
      </c>
      <c r="L292" t="str">
        <f>IF(E292&gt;=80,"High Value","Normal")</f>
        <v>Normal</v>
      </c>
      <c r="M292" s="2" t="str">
        <f t="shared" si="14"/>
        <v>YES</v>
      </c>
      <c r="N292" t="str">
        <f>VLOOKUP(A292,A291:H1291,8)</f>
        <v>Clothing</v>
      </c>
    </row>
    <row r="293" spans="1:14" x14ac:dyDescent="0.35">
      <c r="A293">
        <v>292</v>
      </c>
      <c r="B293">
        <v>62</v>
      </c>
      <c r="C293" t="s">
        <v>13</v>
      </c>
      <c r="D293">
        <v>38250</v>
      </c>
      <c r="E293">
        <v>63</v>
      </c>
      <c r="F293">
        <v>5</v>
      </c>
      <c r="G293">
        <v>22</v>
      </c>
      <c r="H293" t="s">
        <v>14</v>
      </c>
      <c r="I293">
        <v>723.93</v>
      </c>
      <c r="J293" s="1" t="str">
        <f t="shared" si="12"/>
        <v>valid</v>
      </c>
      <c r="K293" t="e">
        <f t="shared" ca="1" si="13"/>
        <v>#NAME?</v>
      </c>
      <c r="L293" t="str">
        <f>IF(E293&gt;=80,"High Value","Normal")</f>
        <v>Normal</v>
      </c>
      <c r="M293" s="2" t="str">
        <f t="shared" si="14"/>
        <v>YES</v>
      </c>
      <c r="N293" t="str">
        <f>VLOOKUP(A293,A292:H1292,8)</f>
        <v>Home &amp; Garden</v>
      </c>
    </row>
    <row r="294" spans="1:14" x14ac:dyDescent="0.35">
      <c r="A294">
        <v>293</v>
      </c>
      <c r="B294">
        <v>45</v>
      </c>
      <c r="C294" t="s">
        <v>13</v>
      </c>
      <c r="D294">
        <v>54819</v>
      </c>
      <c r="E294">
        <v>72</v>
      </c>
      <c r="F294">
        <v>3</v>
      </c>
      <c r="G294">
        <v>47</v>
      </c>
      <c r="H294" t="s">
        <v>11</v>
      </c>
      <c r="I294">
        <v>553.44000000000005</v>
      </c>
      <c r="J294" s="1" t="str">
        <f t="shared" si="12"/>
        <v>valid</v>
      </c>
      <c r="K294" t="e">
        <f t="shared" ca="1" si="13"/>
        <v>#NAME?</v>
      </c>
      <c r="L294" t="str">
        <f>IF(E294&gt;=80,"High Value","Normal")</f>
        <v>Normal</v>
      </c>
      <c r="M294" s="2" t="str">
        <f t="shared" si="14"/>
        <v>YES</v>
      </c>
      <c r="N294" t="str">
        <f>VLOOKUP(A294,A293:H1293,8)</f>
        <v>Sports</v>
      </c>
    </row>
    <row r="295" spans="1:14" x14ac:dyDescent="0.35">
      <c r="A295">
        <v>294</v>
      </c>
      <c r="B295">
        <v>47</v>
      </c>
      <c r="C295" t="s">
        <v>13</v>
      </c>
      <c r="D295">
        <v>89077</v>
      </c>
      <c r="E295">
        <v>43</v>
      </c>
      <c r="F295">
        <v>1</v>
      </c>
      <c r="G295">
        <v>35</v>
      </c>
      <c r="H295" t="s">
        <v>12</v>
      </c>
      <c r="I295">
        <v>547.85</v>
      </c>
      <c r="J295" s="1" t="str">
        <f t="shared" si="12"/>
        <v>valid</v>
      </c>
      <c r="K295" t="e">
        <f t="shared" ca="1" si="13"/>
        <v>#NAME?</v>
      </c>
      <c r="L295" t="str">
        <f>IF(E295&gt;=80,"High Value","Normal")</f>
        <v>Normal</v>
      </c>
      <c r="M295" s="2" t="str">
        <f t="shared" si="14"/>
        <v>YES</v>
      </c>
      <c r="N295" t="str">
        <f>VLOOKUP(A295,A294:H1294,8)</f>
        <v>Clothing</v>
      </c>
    </row>
    <row r="296" spans="1:14" x14ac:dyDescent="0.35">
      <c r="A296">
        <v>295</v>
      </c>
      <c r="B296">
        <v>18</v>
      </c>
      <c r="C296" t="s">
        <v>13</v>
      </c>
      <c r="D296">
        <v>135713</v>
      </c>
      <c r="E296">
        <v>79</v>
      </c>
      <c r="F296">
        <v>7</v>
      </c>
      <c r="G296">
        <v>18</v>
      </c>
      <c r="H296" t="s">
        <v>15</v>
      </c>
      <c r="I296">
        <v>871.12</v>
      </c>
      <c r="J296" s="1" t="str">
        <f t="shared" si="12"/>
        <v>valid</v>
      </c>
      <c r="K296" t="e">
        <f t="shared" ca="1" si="13"/>
        <v>#NAME?</v>
      </c>
      <c r="L296" t="str">
        <f>IF(E296&gt;=80,"High Value","Normal")</f>
        <v>Normal</v>
      </c>
      <c r="M296" s="2" t="b">
        <f t="shared" si="14"/>
        <v>0</v>
      </c>
      <c r="N296" t="str">
        <f>VLOOKUP(A296,A295:H1295,8)</f>
        <v>Electronics</v>
      </c>
    </row>
    <row r="297" spans="1:14" x14ac:dyDescent="0.35">
      <c r="A297">
        <v>296</v>
      </c>
      <c r="B297">
        <v>56</v>
      </c>
      <c r="C297" t="s">
        <v>13</v>
      </c>
      <c r="D297">
        <v>129611</v>
      </c>
      <c r="E297">
        <v>23</v>
      </c>
      <c r="F297">
        <v>3</v>
      </c>
      <c r="G297">
        <v>48</v>
      </c>
      <c r="H297" t="s">
        <v>11</v>
      </c>
      <c r="I297">
        <v>98.85</v>
      </c>
      <c r="J297" s="1" t="str">
        <f t="shared" si="12"/>
        <v>valid</v>
      </c>
      <c r="K297" t="e">
        <f t="shared" ca="1" si="13"/>
        <v>#NAME?</v>
      </c>
      <c r="L297" t="str">
        <f>IF(E297&gt;=80,"High Value","Normal")</f>
        <v>Normal</v>
      </c>
      <c r="M297" s="2" t="str">
        <f t="shared" si="14"/>
        <v>YES</v>
      </c>
      <c r="N297" t="str">
        <f>VLOOKUP(A297,A296:H1296,8)</f>
        <v>Sports</v>
      </c>
    </row>
    <row r="298" spans="1:14" x14ac:dyDescent="0.35">
      <c r="A298">
        <v>297</v>
      </c>
      <c r="B298">
        <v>40</v>
      </c>
      <c r="C298" t="s">
        <v>16</v>
      </c>
      <c r="D298">
        <v>97995</v>
      </c>
      <c r="E298">
        <v>47</v>
      </c>
      <c r="F298">
        <v>4</v>
      </c>
      <c r="G298">
        <v>9</v>
      </c>
      <c r="H298" t="s">
        <v>11</v>
      </c>
      <c r="I298">
        <v>101.35</v>
      </c>
      <c r="J298" s="1" t="str">
        <f t="shared" si="12"/>
        <v>valid</v>
      </c>
      <c r="K298" t="e">
        <f t="shared" ca="1" si="13"/>
        <v>#NAME?</v>
      </c>
      <c r="L298" t="str">
        <f>IF(E298&gt;=80,"High Value","Normal")</f>
        <v>Normal</v>
      </c>
      <c r="M298" s="2" t="b">
        <f t="shared" si="14"/>
        <v>0</v>
      </c>
      <c r="N298" t="str">
        <f>VLOOKUP(A298,A297:H1297,8)</f>
        <v>Sports</v>
      </c>
    </row>
    <row r="299" spans="1:14" x14ac:dyDescent="0.35">
      <c r="A299">
        <v>298</v>
      </c>
      <c r="B299">
        <v>39</v>
      </c>
      <c r="C299" t="s">
        <v>16</v>
      </c>
      <c r="D299">
        <v>132488</v>
      </c>
      <c r="E299">
        <v>40</v>
      </c>
      <c r="F299">
        <v>5</v>
      </c>
      <c r="G299">
        <v>37</v>
      </c>
      <c r="H299" t="s">
        <v>11</v>
      </c>
      <c r="I299">
        <v>82.16</v>
      </c>
      <c r="J299" s="1" t="str">
        <f t="shared" si="12"/>
        <v>valid</v>
      </c>
      <c r="K299" t="e">
        <f t="shared" ca="1" si="13"/>
        <v>#NAME?</v>
      </c>
      <c r="L299" t="str">
        <f>IF(E299&gt;=80,"High Value","Normal")</f>
        <v>Normal</v>
      </c>
      <c r="M299" s="2" t="str">
        <f t="shared" si="14"/>
        <v>YES</v>
      </c>
      <c r="N299" t="str">
        <f>VLOOKUP(A299,A298:H1298,8)</f>
        <v>Sports</v>
      </c>
    </row>
    <row r="300" spans="1:14" x14ac:dyDescent="0.35">
      <c r="A300">
        <v>299</v>
      </c>
      <c r="B300">
        <v>59</v>
      </c>
      <c r="C300" t="s">
        <v>16</v>
      </c>
      <c r="D300">
        <v>36383</v>
      </c>
      <c r="E300">
        <v>5</v>
      </c>
      <c r="F300">
        <v>6</v>
      </c>
      <c r="G300">
        <v>31</v>
      </c>
      <c r="H300" t="s">
        <v>10</v>
      </c>
      <c r="I300">
        <v>82.77</v>
      </c>
      <c r="J300" s="1" t="str">
        <f t="shared" si="12"/>
        <v>valid</v>
      </c>
      <c r="K300" t="e">
        <f t="shared" ca="1" si="13"/>
        <v>#NAME?</v>
      </c>
      <c r="L300" t="str">
        <f>IF(E300&gt;=80,"High Value","Normal")</f>
        <v>Normal</v>
      </c>
      <c r="M300" s="2" t="str">
        <f t="shared" si="14"/>
        <v>YES</v>
      </c>
      <c r="N300" t="str">
        <f>VLOOKUP(A300,A299:H1299,8)</f>
        <v>Groceries</v>
      </c>
    </row>
    <row r="301" spans="1:14" x14ac:dyDescent="0.35">
      <c r="A301">
        <v>300</v>
      </c>
      <c r="B301">
        <v>55</v>
      </c>
      <c r="C301" t="s">
        <v>13</v>
      </c>
      <c r="D301">
        <v>144624</v>
      </c>
      <c r="E301">
        <v>38</v>
      </c>
      <c r="F301">
        <v>2</v>
      </c>
      <c r="G301">
        <v>23</v>
      </c>
      <c r="H301" t="s">
        <v>10</v>
      </c>
      <c r="I301">
        <v>652.26</v>
      </c>
      <c r="J301" s="1" t="str">
        <f t="shared" si="12"/>
        <v>valid</v>
      </c>
      <c r="K301" t="e">
        <f t="shared" ca="1" si="13"/>
        <v>#NAME?</v>
      </c>
      <c r="L301" t="str">
        <f>IF(E301&gt;=80,"High Value","Normal")</f>
        <v>Normal</v>
      </c>
      <c r="M301" s="2" t="str">
        <f t="shared" si="14"/>
        <v>YES</v>
      </c>
      <c r="N301" t="str">
        <f>VLOOKUP(A301,A300:H1300,8)</f>
        <v>Groceries</v>
      </c>
    </row>
    <row r="302" spans="1:14" x14ac:dyDescent="0.35">
      <c r="A302">
        <v>301</v>
      </c>
      <c r="B302">
        <v>52</v>
      </c>
      <c r="C302" t="s">
        <v>9</v>
      </c>
      <c r="D302">
        <v>106147</v>
      </c>
      <c r="E302">
        <v>2</v>
      </c>
      <c r="F302">
        <v>6</v>
      </c>
      <c r="G302">
        <v>19</v>
      </c>
      <c r="H302" t="s">
        <v>10</v>
      </c>
      <c r="I302">
        <v>412.65</v>
      </c>
      <c r="J302" s="1" t="str">
        <f t="shared" si="12"/>
        <v>valid</v>
      </c>
      <c r="K302" t="e">
        <f t="shared" ca="1" si="13"/>
        <v>#NAME?</v>
      </c>
      <c r="L302" t="str">
        <f>IF(E302&gt;=80,"High Value","Normal")</f>
        <v>Normal</v>
      </c>
      <c r="M302" s="2" t="b">
        <f t="shared" si="14"/>
        <v>0</v>
      </c>
      <c r="N302" t="str">
        <f>VLOOKUP(A302,A301:H1301,8)</f>
        <v>Groceries</v>
      </c>
    </row>
    <row r="303" spans="1:14" x14ac:dyDescent="0.35">
      <c r="A303">
        <v>302</v>
      </c>
      <c r="B303">
        <v>50</v>
      </c>
      <c r="C303" t="s">
        <v>13</v>
      </c>
      <c r="D303">
        <v>130668</v>
      </c>
      <c r="E303">
        <v>39</v>
      </c>
      <c r="F303">
        <v>5</v>
      </c>
      <c r="G303">
        <v>25</v>
      </c>
      <c r="H303" t="s">
        <v>14</v>
      </c>
      <c r="I303">
        <v>69.81</v>
      </c>
      <c r="J303" s="1" t="str">
        <f t="shared" si="12"/>
        <v>valid</v>
      </c>
      <c r="K303" t="e">
        <f t="shared" ca="1" si="13"/>
        <v>#NAME?</v>
      </c>
      <c r="L303" t="str">
        <f>IF(E303&gt;=80,"High Value","Normal")</f>
        <v>Normal</v>
      </c>
      <c r="M303" s="2" t="str">
        <f t="shared" si="14"/>
        <v>YES</v>
      </c>
      <c r="N303" t="str">
        <f>VLOOKUP(A303,A302:H1302,8)</f>
        <v>Home &amp; Garden</v>
      </c>
    </row>
    <row r="304" spans="1:14" x14ac:dyDescent="0.35">
      <c r="A304">
        <v>303</v>
      </c>
      <c r="B304">
        <v>59</v>
      </c>
      <c r="C304" t="s">
        <v>9</v>
      </c>
      <c r="D304">
        <v>57745</v>
      </c>
      <c r="E304">
        <v>33</v>
      </c>
      <c r="F304">
        <v>7</v>
      </c>
      <c r="G304">
        <v>42</v>
      </c>
      <c r="H304" t="s">
        <v>15</v>
      </c>
      <c r="I304">
        <v>492.87</v>
      </c>
      <c r="J304" s="1" t="str">
        <f t="shared" si="12"/>
        <v>valid</v>
      </c>
      <c r="K304" t="e">
        <f t="shared" ca="1" si="13"/>
        <v>#NAME?</v>
      </c>
      <c r="L304" t="str">
        <f>IF(E304&gt;=80,"High Value","Normal")</f>
        <v>Normal</v>
      </c>
      <c r="M304" s="2" t="str">
        <f t="shared" si="14"/>
        <v>YES</v>
      </c>
      <c r="N304" t="str">
        <f>VLOOKUP(A304,A303:H1303,8)</f>
        <v>Electronics</v>
      </c>
    </row>
    <row r="305" spans="1:14" x14ac:dyDescent="0.35">
      <c r="A305">
        <v>304</v>
      </c>
      <c r="B305">
        <v>50</v>
      </c>
      <c r="C305" t="s">
        <v>9</v>
      </c>
      <c r="D305">
        <v>78296</v>
      </c>
      <c r="E305">
        <v>93</v>
      </c>
      <c r="F305">
        <v>9</v>
      </c>
      <c r="G305">
        <v>47</v>
      </c>
      <c r="H305" t="s">
        <v>15</v>
      </c>
      <c r="I305">
        <v>559.16</v>
      </c>
      <c r="J305" s="1" t="str">
        <f t="shared" si="12"/>
        <v>valid</v>
      </c>
      <c r="K305" t="e">
        <f t="shared" ca="1" si="13"/>
        <v>#NAME?</v>
      </c>
      <c r="L305" t="str">
        <f>IF(E305&gt;=80,"High Value","Normal")</f>
        <v>High Value</v>
      </c>
      <c r="M305" s="2" t="str">
        <f t="shared" si="14"/>
        <v>YES</v>
      </c>
      <c r="N305" t="str">
        <f>VLOOKUP(A305,A304:H1304,8)</f>
        <v>Electronics</v>
      </c>
    </row>
    <row r="306" spans="1:14" x14ac:dyDescent="0.35">
      <c r="A306">
        <v>305</v>
      </c>
      <c r="B306">
        <v>32</v>
      </c>
      <c r="C306" t="s">
        <v>16</v>
      </c>
      <c r="D306">
        <v>39407</v>
      </c>
      <c r="E306">
        <v>50</v>
      </c>
      <c r="F306">
        <v>6</v>
      </c>
      <c r="G306">
        <v>13</v>
      </c>
      <c r="H306" t="s">
        <v>11</v>
      </c>
      <c r="I306">
        <v>844.22</v>
      </c>
      <c r="J306" s="1" t="str">
        <f t="shared" si="12"/>
        <v>valid</v>
      </c>
      <c r="K306" t="e">
        <f t="shared" ca="1" si="13"/>
        <v>#NAME?</v>
      </c>
      <c r="L306" t="str">
        <f>IF(E306&gt;=80,"High Value","Normal")</f>
        <v>Normal</v>
      </c>
      <c r="M306" s="2" t="b">
        <f t="shared" si="14"/>
        <v>0</v>
      </c>
      <c r="N306" t="str">
        <f>VLOOKUP(A306,A305:H1305,8)</f>
        <v>Sports</v>
      </c>
    </row>
    <row r="307" spans="1:14" x14ac:dyDescent="0.35">
      <c r="A307">
        <v>306</v>
      </c>
      <c r="B307">
        <v>48</v>
      </c>
      <c r="C307" t="s">
        <v>16</v>
      </c>
      <c r="D307">
        <v>39407</v>
      </c>
      <c r="E307">
        <v>82</v>
      </c>
      <c r="F307">
        <v>5</v>
      </c>
      <c r="G307">
        <v>27</v>
      </c>
      <c r="H307" t="s">
        <v>11</v>
      </c>
      <c r="I307">
        <v>463.07</v>
      </c>
      <c r="J307" s="1" t="str">
        <f t="shared" si="12"/>
        <v>valid</v>
      </c>
      <c r="K307" t="e">
        <f t="shared" ca="1" si="13"/>
        <v>#NAME?</v>
      </c>
      <c r="L307" t="str">
        <f>IF(E307&gt;=80,"High Value","Normal")</f>
        <v>High Value</v>
      </c>
      <c r="M307" s="2" t="str">
        <f t="shared" si="14"/>
        <v>YES</v>
      </c>
      <c r="N307" t="str">
        <f>VLOOKUP(A307,A306:H1306,8)</f>
        <v>Sports</v>
      </c>
    </row>
    <row r="308" spans="1:14" x14ac:dyDescent="0.35">
      <c r="A308">
        <v>307</v>
      </c>
      <c r="B308">
        <v>26</v>
      </c>
      <c r="C308" t="s">
        <v>13</v>
      </c>
      <c r="D308">
        <v>135530</v>
      </c>
      <c r="E308">
        <v>81</v>
      </c>
      <c r="F308">
        <v>2</v>
      </c>
      <c r="G308">
        <v>12</v>
      </c>
      <c r="H308" t="s">
        <v>14</v>
      </c>
      <c r="I308">
        <v>126.35</v>
      </c>
      <c r="J308" s="1" t="str">
        <f t="shared" si="12"/>
        <v>valid</v>
      </c>
      <c r="K308" t="e">
        <f t="shared" ca="1" si="13"/>
        <v>#NAME?</v>
      </c>
      <c r="L308" t="str">
        <f>IF(E308&gt;=80,"High Value","Normal")</f>
        <v>High Value</v>
      </c>
      <c r="M308" s="2" t="b">
        <f t="shared" si="14"/>
        <v>0</v>
      </c>
      <c r="N308" t="str">
        <f>VLOOKUP(A308,A307:H1307,8)</f>
        <v>Home &amp; Garden</v>
      </c>
    </row>
    <row r="309" spans="1:14" x14ac:dyDescent="0.35">
      <c r="A309">
        <v>308</v>
      </c>
      <c r="B309">
        <v>54</v>
      </c>
      <c r="C309" t="s">
        <v>9</v>
      </c>
      <c r="D309">
        <v>76995</v>
      </c>
      <c r="E309">
        <v>14</v>
      </c>
      <c r="F309">
        <v>3</v>
      </c>
      <c r="G309">
        <v>46</v>
      </c>
      <c r="H309" t="s">
        <v>15</v>
      </c>
      <c r="I309">
        <v>685.09</v>
      </c>
      <c r="J309" s="1" t="str">
        <f t="shared" si="12"/>
        <v>valid</v>
      </c>
      <c r="K309" t="e">
        <f t="shared" ca="1" si="13"/>
        <v>#NAME?</v>
      </c>
      <c r="L309" t="str">
        <f>IF(E309&gt;=80,"High Value","Normal")</f>
        <v>Normal</v>
      </c>
      <c r="M309" s="2" t="str">
        <f t="shared" si="14"/>
        <v>YES</v>
      </c>
      <c r="N309" t="str">
        <f>VLOOKUP(A309,A308:H1308,8)</f>
        <v>Electronics</v>
      </c>
    </row>
    <row r="310" spans="1:14" x14ac:dyDescent="0.35">
      <c r="A310">
        <v>309</v>
      </c>
      <c r="B310">
        <v>64</v>
      </c>
      <c r="C310" t="s">
        <v>9</v>
      </c>
      <c r="D310">
        <v>96182</v>
      </c>
      <c r="E310">
        <v>44</v>
      </c>
      <c r="F310">
        <v>4</v>
      </c>
      <c r="G310">
        <v>8</v>
      </c>
      <c r="H310" t="s">
        <v>10</v>
      </c>
      <c r="I310">
        <v>509.31</v>
      </c>
      <c r="J310" s="1" t="str">
        <f t="shared" si="12"/>
        <v>valid</v>
      </c>
      <c r="K310" t="e">
        <f t="shared" ca="1" si="13"/>
        <v>#NAME?</v>
      </c>
      <c r="L310" t="str">
        <f>IF(E310&gt;=80,"High Value","Normal")</f>
        <v>Normal</v>
      </c>
      <c r="M310" s="2" t="b">
        <f t="shared" si="14"/>
        <v>0</v>
      </c>
      <c r="N310" t="str">
        <f>VLOOKUP(A310,A309:H1309,8)</f>
        <v>Groceries</v>
      </c>
    </row>
    <row r="311" spans="1:14" x14ac:dyDescent="0.35">
      <c r="A311">
        <v>310</v>
      </c>
      <c r="B311">
        <v>50</v>
      </c>
      <c r="C311" t="s">
        <v>16</v>
      </c>
      <c r="D311">
        <v>100320</v>
      </c>
      <c r="E311">
        <v>45</v>
      </c>
      <c r="F311">
        <v>7</v>
      </c>
      <c r="G311">
        <v>29</v>
      </c>
      <c r="H311" t="s">
        <v>11</v>
      </c>
      <c r="I311">
        <v>139.38999999999999</v>
      </c>
      <c r="J311" s="1" t="str">
        <f t="shared" si="12"/>
        <v>valid</v>
      </c>
      <c r="K311" t="e">
        <f t="shared" ca="1" si="13"/>
        <v>#NAME?</v>
      </c>
      <c r="L311" t="str">
        <f>IF(E311&gt;=80,"High Value","Normal")</f>
        <v>Normal</v>
      </c>
      <c r="M311" s="2" t="str">
        <f t="shared" si="14"/>
        <v>YES</v>
      </c>
      <c r="N311" t="str">
        <f>VLOOKUP(A311,A310:H1310,8)</f>
        <v>Sports</v>
      </c>
    </row>
    <row r="312" spans="1:14" x14ac:dyDescent="0.35">
      <c r="A312">
        <v>311</v>
      </c>
      <c r="B312">
        <v>53</v>
      </c>
      <c r="C312" t="s">
        <v>16</v>
      </c>
      <c r="D312">
        <v>138922</v>
      </c>
      <c r="E312">
        <v>45</v>
      </c>
      <c r="F312">
        <v>5</v>
      </c>
      <c r="G312">
        <v>22</v>
      </c>
      <c r="H312" t="s">
        <v>15</v>
      </c>
      <c r="I312">
        <v>154.06</v>
      </c>
      <c r="J312" s="1" t="str">
        <f t="shared" si="12"/>
        <v>valid</v>
      </c>
      <c r="K312" t="e">
        <f t="shared" ca="1" si="13"/>
        <v>#NAME?</v>
      </c>
      <c r="L312" t="str">
        <f>IF(E312&gt;=80,"High Value","Normal")</f>
        <v>Normal</v>
      </c>
      <c r="M312" s="2" t="str">
        <f t="shared" si="14"/>
        <v>YES</v>
      </c>
      <c r="N312" t="str">
        <f>VLOOKUP(A312,A311:H1311,8)</f>
        <v>Electronics</v>
      </c>
    </row>
    <row r="313" spans="1:14" x14ac:dyDescent="0.35">
      <c r="A313">
        <v>312</v>
      </c>
      <c r="B313">
        <v>30</v>
      </c>
      <c r="C313" t="s">
        <v>16</v>
      </c>
      <c r="D313">
        <v>143200</v>
      </c>
      <c r="E313">
        <v>38</v>
      </c>
      <c r="F313">
        <v>8</v>
      </c>
      <c r="G313">
        <v>30</v>
      </c>
      <c r="H313" t="s">
        <v>11</v>
      </c>
      <c r="I313">
        <v>684.43</v>
      </c>
      <c r="J313" s="1" t="str">
        <f t="shared" si="12"/>
        <v>valid</v>
      </c>
      <c r="K313" t="e">
        <f t="shared" ca="1" si="13"/>
        <v>#NAME?</v>
      </c>
      <c r="L313" t="str">
        <f>IF(E313&gt;=80,"High Value","Normal")</f>
        <v>Normal</v>
      </c>
      <c r="M313" s="2" t="b">
        <f t="shared" si="14"/>
        <v>0</v>
      </c>
      <c r="N313" t="str">
        <f>VLOOKUP(A313,A312:H1312,8)</f>
        <v>Sports</v>
      </c>
    </row>
    <row r="314" spans="1:14" x14ac:dyDescent="0.35">
      <c r="A314">
        <v>313</v>
      </c>
      <c r="B314">
        <v>69</v>
      </c>
      <c r="C314" t="s">
        <v>13</v>
      </c>
      <c r="D314">
        <v>35218</v>
      </c>
      <c r="E314">
        <v>47</v>
      </c>
      <c r="F314">
        <v>4</v>
      </c>
      <c r="G314">
        <v>33</v>
      </c>
      <c r="H314" t="s">
        <v>15</v>
      </c>
      <c r="I314">
        <v>315.49</v>
      </c>
      <c r="J314" s="1" t="str">
        <f t="shared" si="12"/>
        <v>valid</v>
      </c>
      <c r="K314" t="e">
        <f t="shared" ca="1" si="13"/>
        <v>#NAME?</v>
      </c>
      <c r="L314" t="str">
        <f>IF(E314&gt;=80,"High Value","Normal")</f>
        <v>Normal</v>
      </c>
      <c r="M314" s="2" t="str">
        <f t="shared" si="14"/>
        <v>YES</v>
      </c>
      <c r="N314" t="str">
        <f>VLOOKUP(A314,A313:H1313,8)</f>
        <v>Electronics</v>
      </c>
    </row>
    <row r="315" spans="1:14" x14ac:dyDescent="0.35">
      <c r="A315">
        <v>314</v>
      </c>
      <c r="B315">
        <v>44</v>
      </c>
      <c r="C315" t="s">
        <v>16</v>
      </c>
      <c r="D315">
        <v>141748</v>
      </c>
      <c r="E315">
        <v>55</v>
      </c>
      <c r="F315">
        <v>2</v>
      </c>
      <c r="G315">
        <v>50</v>
      </c>
      <c r="H315" t="s">
        <v>10</v>
      </c>
      <c r="I315">
        <v>897.57</v>
      </c>
      <c r="J315" s="1" t="str">
        <f t="shared" si="12"/>
        <v>valid</v>
      </c>
      <c r="K315" t="e">
        <f t="shared" ca="1" si="13"/>
        <v>#NAME?</v>
      </c>
      <c r="L315" t="str">
        <f>IF(E315&gt;=80,"High Value","Normal")</f>
        <v>Normal</v>
      </c>
      <c r="M315" s="2" t="str">
        <f t="shared" si="14"/>
        <v>YES</v>
      </c>
      <c r="N315" t="str">
        <f>VLOOKUP(A315,A314:H1314,8)</f>
        <v>Groceries</v>
      </c>
    </row>
    <row r="316" spans="1:14" x14ac:dyDescent="0.35">
      <c r="A316">
        <v>315</v>
      </c>
      <c r="B316">
        <v>68</v>
      </c>
      <c r="C316" t="s">
        <v>9</v>
      </c>
      <c r="D316">
        <v>62971</v>
      </c>
      <c r="E316">
        <v>27</v>
      </c>
      <c r="F316">
        <v>8</v>
      </c>
      <c r="G316">
        <v>17</v>
      </c>
      <c r="H316" t="s">
        <v>15</v>
      </c>
      <c r="I316">
        <v>85.45</v>
      </c>
      <c r="J316" s="1" t="str">
        <f t="shared" si="12"/>
        <v>valid</v>
      </c>
      <c r="K316" t="e">
        <f t="shared" ca="1" si="13"/>
        <v>#NAME?</v>
      </c>
      <c r="L316" t="str">
        <f>IF(E316&gt;=80,"High Value","Normal")</f>
        <v>Normal</v>
      </c>
      <c r="M316" s="2" t="b">
        <f t="shared" si="14"/>
        <v>0</v>
      </c>
      <c r="N316" t="str">
        <f>VLOOKUP(A316,A315:H1315,8)</f>
        <v>Electronics</v>
      </c>
    </row>
    <row r="317" spans="1:14" x14ac:dyDescent="0.35">
      <c r="A317">
        <v>316</v>
      </c>
      <c r="B317">
        <v>20</v>
      </c>
      <c r="C317" t="s">
        <v>9</v>
      </c>
      <c r="D317">
        <v>57260</v>
      </c>
      <c r="E317">
        <v>47</v>
      </c>
      <c r="F317">
        <v>2</v>
      </c>
      <c r="G317">
        <v>49</v>
      </c>
      <c r="H317" t="s">
        <v>15</v>
      </c>
      <c r="I317">
        <v>506.7</v>
      </c>
      <c r="J317" s="1" t="str">
        <f t="shared" si="12"/>
        <v>valid</v>
      </c>
      <c r="K317" t="e">
        <f t="shared" ca="1" si="13"/>
        <v>#NAME?</v>
      </c>
      <c r="L317" t="str">
        <f>IF(E317&gt;=80,"High Value","Normal")</f>
        <v>Normal</v>
      </c>
      <c r="M317" s="2" t="b">
        <f t="shared" si="14"/>
        <v>0</v>
      </c>
      <c r="N317" t="str">
        <f>VLOOKUP(A317,A316:H1316,8)</f>
        <v>Electronics</v>
      </c>
    </row>
    <row r="318" spans="1:14" x14ac:dyDescent="0.35">
      <c r="A318">
        <v>317</v>
      </c>
      <c r="B318">
        <v>18</v>
      </c>
      <c r="C318" t="s">
        <v>13</v>
      </c>
      <c r="D318">
        <v>92363</v>
      </c>
      <c r="E318">
        <v>84</v>
      </c>
      <c r="F318">
        <v>1</v>
      </c>
      <c r="G318">
        <v>10</v>
      </c>
      <c r="H318" t="s">
        <v>15</v>
      </c>
      <c r="I318">
        <v>539.74</v>
      </c>
      <c r="J318" s="1" t="str">
        <f t="shared" si="12"/>
        <v>valid</v>
      </c>
      <c r="K318" t="e">
        <f t="shared" ca="1" si="13"/>
        <v>#NAME?</v>
      </c>
      <c r="L318" t="str">
        <f>IF(E318&gt;=80,"High Value","Normal")</f>
        <v>High Value</v>
      </c>
      <c r="M318" s="2" t="b">
        <f t="shared" si="14"/>
        <v>0</v>
      </c>
      <c r="N318" t="str">
        <f>VLOOKUP(A318,A317:H1317,8)</f>
        <v>Electronics</v>
      </c>
    </row>
    <row r="319" spans="1:14" x14ac:dyDescent="0.35">
      <c r="A319">
        <v>318</v>
      </c>
      <c r="B319">
        <v>23</v>
      </c>
      <c r="C319" t="s">
        <v>13</v>
      </c>
      <c r="D319">
        <v>84664</v>
      </c>
      <c r="E319">
        <v>45</v>
      </c>
      <c r="F319">
        <v>5</v>
      </c>
      <c r="G319">
        <v>12</v>
      </c>
      <c r="H319" t="s">
        <v>15</v>
      </c>
      <c r="I319">
        <v>592.72</v>
      </c>
      <c r="J319" s="1" t="str">
        <f t="shared" si="12"/>
        <v>valid</v>
      </c>
      <c r="K319" t="e">
        <f t="shared" ca="1" si="13"/>
        <v>#NAME?</v>
      </c>
      <c r="L319" t="str">
        <f>IF(E319&gt;=80,"High Value","Normal")</f>
        <v>Normal</v>
      </c>
      <c r="M319" s="2" t="b">
        <f t="shared" si="14"/>
        <v>0</v>
      </c>
      <c r="N319" t="str">
        <f>VLOOKUP(A319,A318:H1318,8)</f>
        <v>Electronics</v>
      </c>
    </row>
    <row r="320" spans="1:14" x14ac:dyDescent="0.35">
      <c r="A320">
        <v>319</v>
      </c>
      <c r="B320">
        <v>61</v>
      </c>
      <c r="C320" t="s">
        <v>13</v>
      </c>
      <c r="D320">
        <v>47790</v>
      </c>
      <c r="E320">
        <v>67</v>
      </c>
      <c r="F320">
        <v>9</v>
      </c>
      <c r="G320">
        <v>5</v>
      </c>
      <c r="H320" t="s">
        <v>14</v>
      </c>
      <c r="I320">
        <v>714.29</v>
      </c>
      <c r="J320" s="1" t="str">
        <f t="shared" si="12"/>
        <v>valid</v>
      </c>
      <c r="K320" t="e">
        <f t="shared" ca="1" si="13"/>
        <v>#NAME?</v>
      </c>
      <c r="L320" t="str">
        <f>IF(E320&gt;=80,"High Value","Normal")</f>
        <v>Normal</v>
      </c>
      <c r="M320" s="2" t="b">
        <f t="shared" si="14"/>
        <v>0</v>
      </c>
      <c r="N320" t="str">
        <f>VLOOKUP(A320,A319:H1319,8)</f>
        <v>Home &amp; Garden</v>
      </c>
    </row>
    <row r="321" spans="1:14" x14ac:dyDescent="0.35">
      <c r="A321">
        <v>320</v>
      </c>
      <c r="B321">
        <v>34</v>
      </c>
      <c r="C321" t="s">
        <v>16</v>
      </c>
      <c r="D321">
        <v>31668</v>
      </c>
      <c r="E321">
        <v>43</v>
      </c>
      <c r="F321">
        <v>5</v>
      </c>
      <c r="G321">
        <v>40</v>
      </c>
      <c r="H321" t="s">
        <v>12</v>
      </c>
      <c r="I321">
        <v>117.01</v>
      </c>
      <c r="J321" s="1" t="str">
        <f t="shared" si="12"/>
        <v>valid</v>
      </c>
      <c r="K321" t="e">
        <f t="shared" ca="1" si="13"/>
        <v>#NAME?</v>
      </c>
      <c r="L321" t="str">
        <f>IF(E321&gt;=80,"High Value","Normal")</f>
        <v>Normal</v>
      </c>
      <c r="M321" s="2" t="str">
        <f t="shared" si="14"/>
        <v>YES</v>
      </c>
      <c r="N321" t="str">
        <f>VLOOKUP(A321,A320:H1320,8)</f>
        <v>Clothing</v>
      </c>
    </row>
    <row r="322" spans="1:14" x14ac:dyDescent="0.35">
      <c r="A322">
        <v>321</v>
      </c>
      <c r="B322">
        <v>43</v>
      </c>
      <c r="C322" t="s">
        <v>9</v>
      </c>
      <c r="D322">
        <v>78858</v>
      </c>
      <c r="E322">
        <v>4</v>
      </c>
      <c r="F322">
        <v>3</v>
      </c>
      <c r="G322">
        <v>38</v>
      </c>
      <c r="H322" t="s">
        <v>11</v>
      </c>
      <c r="I322">
        <v>261.19</v>
      </c>
      <c r="J322" s="1" t="str">
        <f t="shared" si="12"/>
        <v>valid</v>
      </c>
      <c r="K322" t="e">
        <f t="shared" ca="1" si="13"/>
        <v>#NAME?</v>
      </c>
      <c r="L322" t="str">
        <f>IF(E322&gt;=80,"High Value","Normal")</f>
        <v>Normal</v>
      </c>
      <c r="M322" s="2" t="str">
        <f t="shared" si="14"/>
        <v>YES</v>
      </c>
      <c r="N322" t="str">
        <f>VLOOKUP(A322,A321:H1321,8)</f>
        <v>Sports</v>
      </c>
    </row>
    <row r="323" spans="1:14" x14ac:dyDescent="0.35">
      <c r="A323">
        <v>322</v>
      </c>
      <c r="B323">
        <v>46</v>
      </c>
      <c r="C323" t="s">
        <v>13</v>
      </c>
      <c r="D323">
        <v>126553</v>
      </c>
      <c r="E323">
        <v>16</v>
      </c>
      <c r="F323">
        <v>2</v>
      </c>
      <c r="G323">
        <v>22</v>
      </c>
      <c r="H323" t="s">
        <v>14</v>
      </c>
      <c r="I323">
        <v>85.56</v>
      </c>
      <c r="J323" s="1" t="str">
        <f t="shared" ref="J323:J386" si="15">IF(AND(B323&gt;=18, B323&lt;=100), "valid", "invalid")</f>
        <v>valid</v>
      </c>
      <c r="K323" t="e">
        <f t="shared" ref="K323:K386" ca="1" si="16">IFS(OR(C323= "Female",C323="female",C323= "F"), "Female", OR(C323="Male", C323="male",C323= "M"), "Male", TRUE, "Other")</f>
        <v>#NAME?</v>
      </c>
      <c r="L323" t="str">
        <f>IF(E323&gt;=80,"High Value","Normal")</f>
        <v>Normal</v>
      </c>
      <c r="M323" s="2" t="str">
        <f t="shared" ref="M323:M386" si="17">IF(AND(B323&gt;30,G323&gt;20), "YES")</f>
        <v>YES</v>
      </c>
      <c r="N323" t="str">
        <f>VLOOKUP(A323,A322:H1322,8)</f>
        <v>Home &amp; Garden</v>
      </c>
    </row>
    <row r="324" spans="1:14" x14ac:dyDescent="0.35">
      <c r="A324">
        <v>323</v>
      </c>
      <c r="B324">
        <v>55</v>
      </c>
      <c r="C324" t="s">
        <v>13</v>
      </c>
      <c r="D324">
        <v>80006</v>
      </c>
      <c r="E324">
        <v>44</v>
      </c>
      <c r="F324">
        <v>2</v>
      </c>
      <c r="G324">
        <v>49</v>
      </c>
      <c r="H324" t="s">
        <v>12</v>
      </c>
      <c r="I324">
        <v>727.51</v>
      </c>
      <c r="J324" s="1" t="str">
        <f t="shared" si="15"/>
        <v>valid</v>
      </c>
      <c r="K324" t="e">
        <f t="shared" ca="1" si="16"/>
        <v>#NAME?</v>
      </c>
      <c r="L324" t="str">
        <f>IF(E324&gt;=80,"High Value","Normal")</f>
        <v>Normal</v>
      </c>
      <c r="M324" s="2" t="str">
        <f t="shared" si="17"/>
        <v>YES</v>
      </c>
      <c r="N324" t="str">
        <f>VLOOKUP(A324,A323:H1323,8)</f>
        <v>Clothing</v>
      </c>
    </row>
    <row r="325" spans="1:14" x14ac:dyDescent="0.35">
      <c r="A325">
        <v>324</v>
      </c>
      <c r="B325">
        <v>30</v>
      </c>
      <c r="C325" t="s">
        <v>16</v>
      </c>
      <c r="D325">
        <v>119162</v>
      </c>
      <c r="E325">
        <v>15</v>
      </c>
      <c r="F325">
        <v>9</v>
      </c>
      <c r="G325">
        <v>38</v>
      </c>
      <c r="H325" t="s">
        <v>14</v>
      </c>
      <c r="I325">
        <v>937.85</v>
      </c>
      <c r="J325" s="1" t="str">
        <f t="shared" si="15"/>
        <v>valid</v>
      </c>
      <c r="K325" t="e">
        <f t="shared" ca="1" si="16"/>
        <v>#NAME?</v>
      </c>
      <c r="L325" t="str">
        <f>IF(E325&gt;=80,"High Value","Normal")</f>
        <v>Normal</v>
      </c>
      <c r="M325" s="2" t="b">
        <f t="shared" si="17"/>
        <v>0</v>
      </c>
      <c r="N325" t="str">
        <f>VLOOKUP(A325,A324:H1324,8)</f>
        <v>Home &amp; Garden</v>
      </c>
    </row>
    <row r="326" spans="1:14" x14ac:dyDescent="0.35">
      <c r="A326">
        <v>325</v>
      </c>
      <c r="B326">
        <v>41</v>
      </c>
      <c r="C326" t="s">
        <v>13</v>
      </c>
      <c r="D326">
        <v>71410</v>
      </c>
      <c r="E326">
        <v>69</v>
      </c>
      <c r="F326">
        <v>1</v>
      </c>
      <c r="G326">
        <v>32</v>
      </c>
      <c r="H326" t="s">
        <v>14</v>
      </c>
      <c r="I326">
        <v>456.67</v>
      </c>
      <c r="J326" s="1" t="str">
        <f t="shared" si="15"/>
        <v>valid</v>
      </c>
      <c r="K326" t="e">
        <f t="shared" ca="1" si="16"/>
        <v>#NAME?</v>
      </c>
      <c r="L326" t="str">
        <f>IF(E326&gt;=80,"High Value","Normal")</f>
        <v>Normal</v>
      </c>
      <c r="M326" s="2" t="str">
        <f t="shared" si="17"/>
        <v>YES</v>
      </c>
      <c r="N326" t="str">
        <f>VLOOKUP(A326,A325:H1325,8)</f>
        <v>Home &amp; Garden</v>
      </c>
    </row>
    <row r="327" spans="1:14" x14ac:dyDescent="0.35">
      <c r="A327">
        <v>326</v>
      </c>
      <c r="B327">
        <v>59</v>
      </c>
      <c r="C327" t="s">
        <v>13</v>
      </c>
      <c r="D327">
        <v>49020</v>
      </c>
      <c r="E327">
        <v>100</v>
      </c>
      <c r="F327">
        <v>2</v>
      </c>
      <c r="G327">
        <v>42</v>
      </c>
      <c r="H327" t="s">
        <v>10</v>
      </c>
      <c r="I327">
        <v>588.17999999999995</v>
      </c>
      <c r="J327" s="1" t="str">
        <f t="shared" si="15"/>
        <v>valid</v>
      </c>
      <c r="K327" t="e">
        <f t="shared" ca="1" si="16"/>
        <v>#NAME?</v>
      </c>
      <c r="L327" t="str">
        <f>IF(E327&gt;=80,"High Value","Normal")</f>
        <v>High Value</v>
      </c>
      <c r="M327" s="2" t="str">
        <f t="shared" si="17"/>
        <v>YES</v>
      </c>
      <c r="N327" t="str">
        <f>VLOOKUP(A327,A326:H1326,8)</f>
        <v>Groceries</v>
      </c>
    </row>
    <row r="328" spans="1:14" x14ac:dyDescent="0.35">
      <c r="A328">
        <v>327</v>
      </c>
      <c r="B328">
        <v>50</v>
      </c>
      <c r="C328" t="s">
        <v>16</v>
      </c>
      <c r="D328">
        <v>36022</v>
      </c>
      <c r="E328">
        <v>11</v>
      </c>
      <c r="F328">
        <v>6</v>
      </c>
      <c r="G328">
        <v>49</v>
      </c>
      <c r="H328" t="s">
        <v>12</v>
      </c>
      <c r="I328">
        <v>801.59</v>
      </c>
      <c r="J328" s="1" t="str">
        <f t="shared" si="15"/>
        <v>valid</v>
      </c>
      <c r="K328" t="e">
        <f t="shared" ca="1" si="16"/>
        <v>#NAME?</v>
      </c>
      <c r="L328" t="str">
        <f>IF(E328&gt;=80,"High Value","Normal")</f>
        <v>Normal</v>
      </c>
      <c r="M328" s="2" t="str">
        <f t="shared" si="17"/>
        <v>YES</v>
      </c>
      <c r="N328" t="str">
        <f>VLOOKUP(A328,A327:H1327,8)</f>
        <v>Clothing</v>
      </c>
    </row>
    <row r="329" spans="1:14" x14ac:dyDescent="0.35">
      <c r="A329">
        <v>328</v>
      </c>
      <c r="B329">
        <v>41</v>
      </c>
      <c r="C329" t="s">
        <v>9</v>
      </c>
      <c r="D329">
        <v>64634</v>
      </c>
      <c r="E329">
        <v>55</v>
      </c>
      <c r="F329">
        <v>9</v>
      </c>
      <c r="G329">
        <v>44</v>
      </c>
      <c r="H329" t="s">
        <v>10</v>
      </c>
      <c r="I329">
        <v>488.07</v>
      </c>
      <c r="J329" s="1" t="str">
        <f t="shared" si="15"/>
        <v>valid</v>
      </c>
      <c r="K329" t="e">
        <f t="shared" ca="1" si="16"/>
        <v>#NAME?</v>
      </c>
      <c r="L329" t="str">
        <f>IF(E329&gt;=80,"High Value","Normal")</f>
        <v>Normal</v>
      </c>
      <c r="M329" s="2" t="str">
        <f t="shared" si="17"/>
        <v>YES</v>
      </c>
      <c r="N329" t="str">
        <f>VLOOKUP(A329,A328:H1328,8)</f>
        <v>Groceries</v>
      </c>
    </row>
    <row r="330" spans="1:14" x14ac:dyDescent="0.35">
      <c r="A330">
        <v>329</v>
      </c>
      <c r="B330">
        <v>68</v>
      </c>
      <c r="C330" t="s">
        <v>13</v>
      </c>
      <c r="D330">
        <v>76921</v>
      </c>
      <c r="E330">
        <v>79</v>
      </c>
      <c r="F330">
        <v>1</v>
      </c>
      <c r="G330">
        <v>23</v>
      </c>
      <c r="H330" t="s">
        <v>10</v>
      </c>
      <c r="I330">
        <v>122.02</v>
      </c>
      <c r="J330" s="1" t="str">
        <f t="shared" si="15"/>
        <v>valid</v>
      </c>
      <c r="K330" t="e">
        <f t="shared" ca="1" si="16"/>
        <v>#NAME?</v>
      </c>
      <c r="L330" t="str">
        <f>IF(E330&gt;=80,"High Value","Normal")</f>
        <v>Normal</v>
      </c>
      <c r="M330" s="2" t="str">
        <f t="shared" si="17"/>
        <v>YES</v>
      </c>
      <c r="N330" t="str">
        <f>VLOOKUP(A330,A329:H1329,8)</f>
        <v>Groceries</v>
      </c>
    </row>
    <row r="331" spans="1:14" x14ac:dyDescent="0.35">
      <c r="A331">
        <v>330</v>
      </c>
      <c r="B331">
        <v>28</v>
      </c>
      <c r="C331" t="s">
        <v>16</v>
      </c>
      <c r="D331">
        <v>51087</v>
      </c>
      <c r="E331">
        <v>60</v>
      </c>
      <c r="F331">
        <v>4</v>
      </c>
      <c r="G331">
        <v>42</v>
      </c>
      <c r="H331" t="s">
        <v>10</v>
      </c>
      <c r="I331">
        <v>68.31</v>
      </c>
      <c r="J331" s="1" t="str">
        <f t="shared" si="15"/>
        <v>valid</v>
      </c>
      <c r="K331" t="e">
        <f t="shared" ca="1" si="16"/>
        <v>#NAME?</v>
      </c>
      <c r="L331" t="str">
        <f>IF(E331&gt;=80,"High Value","Normal")</f>
        <v>Normal</v>
      </c>
      <c r="M331" s="2" t="b">
        <f t="shared" si="17"/>
        <v>0</v>
      </c>
      <c r="N331" t="str">
        <f>VLOOKUP(A331,A330:H1330,8)</f>
        <v>Groceries</v>
      </c>
    </row>
    <row r="332" spans="1:14" x14ac:dyDescent="0.35">
      <c r="A332">
        <v>331</v>
      </c>
      <c r="B332">
        <v>30</v>
      </c>
      <c r="C332" t="s">
        <v>16</v>
      </c>
      <c r="D332">
        <v>90651</v>
      </c>
      <c r="E332">
        <v>88</v>
      </c>
      <c r="F332">
        <v>9</v>
      </c>
      <c r="G332">
        <v>37</v>
      </c>
      <c r="H332" t="s">
        <v>10</v>
      </c>
      <c r="I332">
        <v>555.41</v>
      </c>
      <c r="J332" s="1" t="str">
        <f t="shared" si="15"/>
        <v>valid</v>
      </c>
      <c r="K332" t="e">
        <f t="shared" ca="1" si="16"/>
        <v>#NAME?</v>
      </c>
      <c r="L332" t="str">
        <f>IF(E332&gt;=80,"High Value","Normal")</f>
        <v>High Value</v>
      </c>
      <c r="M332" s="2" t="b">
        <f t="shared" si="17"/>
        <v>0</v>
      </c>
      <c r="N332" t="str">
        <f>VLOOKUP(A332,A331:H1331,8)</f>
        <v>Groceries</v>
      </c>
    </row>
    <row r="333" spans="1:14" x14ac:dyDescent="0.35">
      <c r="A333">
        <v>332</v>
      </c>
      <c r="B333">
        <v>38</v>
      </c>
      <c r="C333" t="s">
        <v>13</v>
      </c>
      <c r="D333">
        <v>50518</v>
      </c>
      <c r="E333">
        <v>70</v>
      </c>
      <c r="F333">
        <v>1</v>
      </c>
      <c r="G333">
        <v>38</v>
      </c>
      <c r="H333" t="s">
        <v>11</v>
      </c>
      <c r="I333">
        <v>816.09</v>
      </c>
      <c r="J333" s="1" t="str">
        <f t="shared" si="15"/>
        <v>valid</v>
      </c>
      <c r="K333" t="e">
        <f t="shared" ca="1" si="16"/>
        <v>#NAME?</v>
      </c>
      <c r="L333" t="str">
        <f>IF(E333&gt;=80,"High Value","Normal")</f>
        <v>Normal</v>
      </c>
      <c r="M333" s="2" t="str">
        <f t="shared" si="17"/>
        <v>YES</v>
      </c>
      <c r="N333" t="str">
        <f>VLOOKUP(A333,A332:H1332,8)</f>
        <v>Sports</v>
      </c>
    </row>
    <row r="334" spans="1:14" x14ac:dyDescent="0.35">
      <c r="A334">
        <v>333</v>
      </c>
      <c r="B334">
        <v>21</v>
      </c>
      <c r="C334" t="s">
        <v>13</v>
      </c>
      <c r="D334">
        <v>126598</v>
      </c>
      <c r="E334">
        <v>14</v>
      </c>
      <c r="F334">
        <v>3</v>
      </c>
      <c r="G334">
        <v>1</v>
      </c>
      <c r="H334" t="s">
        <v>11</v>
      </c>
      <c r="I334">
        <v>505.98</v>
      </c>
      <c r="J334" s="1" t="str">
        <f t="shared" si="15"/>
        <v>valid</v>
      </c>
      <c r="K334" t="e">
        <f t="shared" ca="1" si="16"/>
        <v>#NAME?</v>
      </c>
      <c r="L334" t="str">
        <f>IF(E334&gt;=80,"High Value","Normal")</f>
        <v>Normal</v>
      </c>
      <c r="M334" s="2" t="b">
        <f t="shared" si="17"/>
        <v>0</v>
      </c>
      <c r="N334" t="str">
        <f>VLOOKUP(A334,A333:H1333,8)</f>
        <v>Sports</v>
      </c>
    </row>
    <row r="335" spans="1:14" x14ac:dyDescent="0.35">
      <c r="A335">
        <v>334</v>
      </c>
      <c r="B335">
        <v>58</v>
      </c>
      <c r="C335" t="s">
        <v>13</v>
      </c>
      <c r="D335">
        <v>99475</v>
      </c>
      <c r="E335">
        <v>27</v>
      </c>
      <c r="F335">
        <v>9</v>
      </c>
      <c r="G335">
        <v>9</v>
      </c>
      <c r="H335" t="s">
        <v>10</v>
      </c>
      <c r="I335">
        <v>249.39</v>
      </c>
      <c r="J335" s="1" t="str">
        <f t="shared" si="15"/>
        <v>valid</v>
      </c>
      <c r="K335" t="e">
        <f t="shared" ca="1" si="16"/>
        <v>#NAME?</v>
      </c>
      <c r="L335" t="str">
        <f>IF(E335&gt;=80,"High Value","Normal")</f>
        <v>Normal</v>
      </c>
      <c r="M335" s="2" t="b">
        <f t="shared" si="17"/>
        <v>0</v>
      </c>
      <c r="N335" t="str">
        <f>VLOOKUP(A335,A334:H1334,8)</f>
        <v>Groceries</v>
      </c>
    </row>
    <row r="336" spans="1:14" x14ac:dyDescent="0.35">
      <c r="A336">
        <v>335</v>
      </c>
      <c r="B336">
        <v>60</v>
      </c>
      <c r="C336" t="s">
        <v>16</v>
      </c>
      <c r="D336">
        <v>145308</v>
      </c>
      <c r="E336">
        <v>83</v>
      </c>
      <c r="F336">
        <v>3</v>
      </c>
      <c r="G336">
        <v>31</v>
      </c>
      <c r="H336" t="s">
        <v>10</v>
      </c>
      <c r="I336">
        <v>53.26</v>
      </c>
      <c r="J336" s="1" t="str">
        <f t="shared" si="15"/>
        <v>valid</v>
      </c>
      <c r="K336" t="e">
        <f t="shared" ca="1" si="16"/>
        <v>#NAME?</v>
      </c>
      <c r="L336" t="str">
        <f>IF(E336&gt;=80,"High Value","Normal")</f>
        <v>High Value</v>
      </c>
      <c r="M336" s="2" t="str">
        <f t="shared" si="17"/>
        <v>YES</v>
      </c>
      <c r="N336" t="str">
        <f>VLOOKUP(A336,A335:H1335,8)</f>
        <v>Groceries</v>
      </c>
    </row>
    <row r="337" spans="1:14" x14ac:dyDescent="0.35">
      <c r="A337">
        <v>336</v>
      </c>
      <c r="B337">
        <v>40</v>
      </c>
      <c r="C337" t="s">
        <v>13</v>
      </c>
      <c r="D337">
        <v>107488</v>
      </c>
      <c r="E337">
        <v>96</v>
      </c>
      <c r="F337">
        <v>7</v>
      </c>
      <c r="G337">
        <v>16</v>
      </c>
      <c r="H337" t="s">
        <v>10</v>
      </c>
      <c r="I337">
        <v>843.6</v>
      </c>
      <c r="J337" s="1" t="str">
        <f t="shared" si="15"/>
        <v>valid</v>
      </c>
      <c r="K337" t="e">
        <f t="shared" ca="1" si="16"/>
        <v>#NAME?</v>
      </c>
      <c r="L337" t="str">
        <f>IF(E337&gt;=80,"High Value","Normal")</f>
        <v>High Value</v>
      </c>
      <c r="M337" s="2" t="b">
        <f t="shared" si="17"/>
        <v>0</v>
      </c>
      <c r="N337" t="str">
        <f>VLOOKUP(A337,A336:H1336,8)</f>
        <v>Groceries</v>
      </c>
    </row>
    <row r="338" spans="1:14" x14ac:dyDescent="0.35">
      <c r="A338">
        <v>337</v>
      </c>
      <c r="B338">
        <v>58</v>
      </c>
      <c r="C338" t="s">
        <v>16</v>
      </c>
      <c r="D338">
        <v>60768</v>
      </c>
      <c r="E338">
        <v>88</v>
      </c>
      <c r="F338">
        <v>2</v>
      </c>
      <c r="G338">
        <v>38</v>
      </c>
      <c r="H338" t="s">
        <v>10</v>
      </c>
      <c r="I338">
        <v>67.52</v>
      </c>
      <c r="J338" s="1" t="str">
        <f t="shared" si="15"/>
        <v>valid</v>
      </c>
      <c r="K338" t="e">
        <f t="shared" ca="1" si="16"/>
        <v>#NAME?</v>
      </c>
      <c r="L338" t="str">
        <f>IF(E338&gt;=80,"High Value","Normal")</f>
        <v>High Value</v>
      </c>
      <c r="M338" s="2" t="str">
        <f t="shared" si="17"/>
        <v>YES</v>
      </c>
      <c r="N338" t="str">
        <f>VLOOKUP(A338,A337:H1337,8)</f>
        <v>Groceries</v>
      </c>
    </row>
    <row r="339" spans="1:14" x14ac:dyDescent="0.35">
      <c r="A339">
        <v>338</v>
      </c>
      <c r="B339">
        <v>42</v>
      </c>
      <c r="C339" t="s">
        <v>13</v>
      </c>
      <c r="D339">
        <v>115381</v>
      </c>
      <c r="E339">
        <v>70</v>
      </c>
      <c r="F339">
        <v>7</v>
      </c>
      <c r="G339">
        <v>33</v>
      </c>
      <c r="H339" t="s">
        <v>14</v>
      </c>
      <c r="I339">
        <v>592.52</v>
      </c>
      <c r="J339" s="1" t="str">
        <f t="shared" si="15"/>
        <v>valid</v>
      </c>
      <c r="K339" t="e">
        <f t="shared" ca="1" si="16"/>
        <v>#NAME?</v>
      </c>
      <c r="L339" t="str">
        <f>IF(E339&gt;=80,"High Value","Normal")</f>
        <v>Normal</v>
      </c>
      <c r="M339" s="2" t="str">
        <f t="shared" si="17"/>
        <v>YES</v>
      </c>
      <c r="N339" t="str">
        <f>VLOOKUP(A339,A338:H1338,8)</f>
        <v>Home &amp; Garden</v>
      </c>
    </row>
    <row r="340" spans="1:14" x14ac:dyDescent="0.35">
      <c r="A340">
        <v>339</v>
      </c>
      <c r="B340">
        <v>28</v>
      </c>
      <c r="C340" t="s">
        <v>9</v>
      </c>
      <c r="D340">
        <v>111697</v>
      </c>
      <c r="E340">
        <v>92</v>
      </c>
      <c r="F340">
        <v>9</v>
      </c>
      <c r="G340">
        <v>50</v>
      </c>
      <c r="H340" t="s">
        <v>11</v>
      </c>
      <c r="I340">
        <v>205.58</v>
      </c>
      <c r="J340" s="1" t="str">
        <f t="shared" si="15"/>
        <v>valid</v>
      </c>
      <c r="K340" t="e">
        <f t="shared" ca="1" si="16"/>
        <v>#NAME?</v>
      </c>
      <c r="L340" t="str">
        <f>IF(E340&gt;=80,"High Value","Normal")</f>
        <v>High Value</v>
      </c>
      <c r="M340" s="2" t="b">
        <f t="shared" si="17"/>
        <v>0</v>
      </c>
      <c r="N340" t="str">
        <f>VLOOKUP(A340,A339:H1339,8)</f>
        <v>Sports</v>
      </c>
    </row>
    <row r="341" spans="1:14" x14ac:dyDescent="0.35">
      <c r="A341">
        <v>340</v>
      </c>
      <c r="B341">
        <v>48</v>
      </c>
      <c r="C341" t="s">
        <v>13</v>
      </c>
      <c r="D341">
        <v>30374</v>
      </c>
      <c r="E341">
        <v>28</v>
      </c>
      <c r="F341">
        <v>7</v>
      </c>
      <c r="G341">
        <v>34</v>
      </c>
      <c r="H341" t="s">
        <v>10</v>
      </c>
      <c r="I341">
        <v>463.78</v>
      </c>
      <c r="J341" s="1" t="str">
        <f t="shared" si="15"/>
        <v>valid</v>
      </c>
      <c r="K341" t="e">
        <f t="shared" ca="1" si="16"/>
        <v>#NAME?</v>
      </c>
      <c r="L341" t="str">
        <f>IF(E341&gt;=80,"High Value","Normal")</f>
        <v>Normal</v>
      </c>
      <c r="M341" s="2" t="str">
        <f t="shared" si="17"/>
        <v>YES</v>
      </c>
      <c r="N341" t="str">
        <f>VLOOKUP(A341,A340:H1340,8)</f>
        <v>Groceries</v>
      </c>
    </row>
    <row r="342" spans="1:14" x14ac:dyDescent="0.35">
      <c r="A342">
        <v>341</v>
      </c>
      <c r="B342">
        <v>31</v>
      </c>
      <c r="C342" t="s">
        <v>13</v>
      </c>
      <c r="D342">
        <v>35406</v>
      </c>
      <c r="E342">
        <v>45</v>
      </c>
      <c r="F342">
        <v>10</v>
      </c>
      <c r="G342">
        <v>9</v>
      </c>
      <c r="H342" t="s">
        <v>15</v>
      </c>
      <c r="I342">
        <v>637.02</v>
      </c>
      <c r="J342" s="1" t="str">
        <f t="shared" si="15"/>
        <v>valid</v>
      </c>
      <c r="K342" t="e">
        <f t="shared" ca="1" si="16"/>
        <v>#NAME?</v>
      </c>
      <c r="L342" t="str">
        <f>IF(E342&gt;=80,"High Value","Normal")</f>
        <v>Normal</v>
      </c>
      <c r="M342" s="2" t="b">
        <f t="shared" si="17"/>
        <v>0</v>
      </c>
      <c r="N342" t="str">
        <f>VLOOKUP(A342,A341:H1341,8)</f>
        <v>Electronics</v>
      </c>
    </row>
    <row r="343" spans="1:14" x14ac:dyDescent="0.35">
      <c r="A343">
        <v>342</v>
      </c>
      <c r="B343">
        <v>69</v>
      </c>
      <c r="C343" t="s">
        <v>9</v>
      </c>
      <c r="D343">
        <v>71688</v>
      </c>
      <c r="E343">
        <v>69</v>
      </c>
      <c r="F343">
        <v>4</v>
      </c>
      <c r="G343">
        <v>25</v>
      </c>
      <c r="H343" t="s">
        <v>12</v>
      </c>
      <c r="I343">
        <v>532.23</v>
      </c>
      <c r="J343" s="1" t="str">
        <f t="shared" si="15"/>
        <v>valid</v>
      </c>
      <c r="K343" t="e">
        <f t="shared" ca="1" si="16"/>
        <v>#NAME?</v>
      </c>
      <c r="L343" t="str">
        <f>IF(E343&gt;=80,"High Value","Normal")</f>
        <v>Normal</v>
      </c>
      <c r="M343" s="2" t="str">
        <f t="shared" si="17"/>
        <v>YES</v>
      </c>
      <c r="N343" t="str">
        <f>VLOOKUP(A343,A342:H1342,8)</f>
        <v>Clothing</v>
      </c>
    </row>
    <row r="344" spans="1:14" x14ac:dyDescent="0.35">
      <c r="A344">
        <v>343</v>
      </c>
      <c r="B344">
        <v>32</v>
      </c>
      <c r="C344" t="s">
        <v>16</v>
      </c>
      <c r="D344">
        <v>48445</v>
      </c>
      <c r="E344">
        <v>91</v>
      </c>
      <c r="F344">
        <v>8</v>
      </c>
      <c r="G344">
        <v>27</v>
      </c>
      <c r="H344" t="s">
        <v>14</v>
      </c>
      <c r="I344">
        <v>265.17</v>
      </c>
      <c r="J344" s="1" t="str">
        <f t="shared" si="15"/>
        <v>valid</v>
      </c>
      <c r="K344" t="e">
        <f t="shared" ca="1" si="16"/>
        <v>#NAME?</v>
      </c>
      <c r="L344" t="str">
        <f>IF(E344&gt;=80,"High Value","Normal")</f>
        <v>High Value</v>
      </c>
      <c r="M344" s="2" t="str">
        <f t="shared" si="17"/>
        <v>YES</v>
      </c>
      <c r="N344" t="str">
        <f>VLOOKUP(A344,A343:H1343,8)</f>
        <v>Home &amp; Garden</v>
      </c>
    </row>
    <row r="345" spans="1:14" x14ac:dyDescent="0.35">
      <c r="A345">
        <v>344</v>
      </c>
      <c r="B345">
        <v>41</v>
      </c>
      <c r="C345" t="s">
        <v>16</v>
      </c>
      <c r="D345">
        <v>136928</v>
      </c>
      <c r="E345">
        <v>42</v>
      </c>
      <c r="F345">
        <v>5</v>
      </c>
      <c r="G345">
        <v>33</v>
      </c>
      <c r="H345" t="s">
        <v>14</v>
      </c>
      <c r="I345">
        <v>239.72</v>
      </c>
      <c r="J345" s="1" t="str">
        <f t="shared" si="15"/>
        <v>valid</v>
      </c>
      <c r="K345" t="e">
        <f t="shared" ca="1" si="16"/>
        <v>#NAME?</v>
      </c>
      <c r="L345" t="str">
        <f>IF(E345&gt;=80,"High Value","Normal")</f>
        <v>Normal</v>
      </c>
      <c r="M345" s="2" t="str">
        <f t="shared" si="17"/>
        <v>YES</v>
      </c>
      <c r="N345" t="str">
        <f>VLOOKUP(A345,A344:H1344,8)</f>
        <v>Home &amp; Garden</v>
      </c>
    </row>
    <row r="346" spans="1:14" x14ac:dyDescent="0.35">
      <c r="A346">
        <v>345</v>
      </c>
      <c r="B346">
        <v>33</v>
      </c>
      <c r="C346" t="s">
        <v>16</v>
      </c>
      <c r="D346">
        <v>112118</v>
      </c>
      <c r="E346">
        <v>27</v>
      </c>
      <c r="F346">
        <v>10</v>
      </c>
      <c r="G346">
        <v>9</v>
      </c>
      <c r="H346" t="s">
        <v>12</v>
      </c>
      <c r="I346">
        <v>535.28</v>
      </c>
      <c r="J346" s="1" t="str">
        <f t="shared" si="15"/>
        <v>valid</v>
      </c>
      <c r="K346" t="e">
        <f t="shared" ca="1" si="16"/>
        <v>#NAME?</v>
      </c>
      <c r="L346" t="str">
        <f>IF(E346&gt;=80,"High Value","Normal")</f>
        <v>Normal</v>
      </c>
      <c r="M346" s="2" t="b">
        <f t="shared" si="17"/>
        <v>0</v>
      </c>
      <c r="N346" t="str">
        <f>VLOOKUP(A346,A345:H1345,8)</f>
        <v>Clothing</v>
      </c>
    </row>
    <row r="347" spans="1:14" x14ac:dyDescent="0.35">
      <c r="A347">
        <v>346</v>
      </c>
      <c r="B347">
        <v>62</v>
      </c>
      <c r="C347" t="s">
        <v>9</v>
      </c>
      <c r="D347">
        <v>114587</v>
      </c>
      <c r="E347">
        <v>14</v>
      </c>
      <c r="F347">
        <v>7</v>
      </c>
      <c r="G347">
        <v>11</v>
      </c>
      <c r="H347" t="s">
        <v>15</v>
      </c>
      <c r="I347">
        <v>26.72</v>
      </c>
      <c r="J347" s="1" t="str">
        <f t="shared" si="15"/>
        <v>valid</v>
      </c>
      <c r="K347" t="e">
        <f t="shared" ca="1" si="16"/>
        <v>#NAME?</v>
      </c>
      <c r="L347" t="str">
        <f>IF(E347&gt;=80,"High Value","Normal")</f>
        <v>Normal</v>
      </c>
      <c r="M347" s="2" t="b">
        <f t="shared" si="17"/>
        <v>0</v>
      </c>
      <c r="N347" t="str">
        <f>VLOOKUP(A347,A346:H1346,8)</f>
        <v>Electronics</v>
      </c>
    </row>
    <row r="348" spans="1:14" x14ac:dyDescent="0.35">
      <c r="A348">
        <v>347</v>
      </c>
      <c r="B348">
        <v>38</v>
      </c>
      <c r="C348" t="s">
        <v>9</v>
      </c>
      <c r="D348">
        <v>42378</v>
      </c>
      <c r="E348">
        <v>36</v>
      </c>
      <c r="F348">
        <v>5</v>
      </c>
      <c r="G348">
        <v>20</v>
      </c>
      <c r="H348" t="s">
        <v>11</v>
      </c>
      <c r="I348">
        <v>279.77</v>
      </c>
      <c r="J348" s="1" t="str">
        <f t="shared" si="15"/>
        <v>valid</v>
      </c>
      <c r="K348" t="e">
        <f t="shared" ca="1" si="16"/>
        <v>#NAME?</v>
      </c>
      <c r="L348" t="str">
        <f>IF(E348&gt;=80,"High Value","Normal")</f>
        <v>Normal</v>
      </c>
      <c r="M348" s="2" t="b">
        <f t="shared" si="17"/>
        <v>0</v>
      </c>
      <c r="N348" t="str">
        <f>VLOOKUP(A348,A347:H1347,8)</f>
        <v>Sports</v>
      </c>
    </row>
    <row r="349" spans="1:14" x14ac:dyDescent="0.35">
      <c r="A349">
        <v>348</v>
      </c>
      <c r="B349">
        <v>39</v>
      </c>
      <c r="C349" t="s">
        <v>9</v>
      </c>
      <c r="D349">
        <v>136141</v>
      </c>
      <c r="E349">
        <v>58</v>
      </c>
      <c r="F349">
        <v>6</v>
      </c>
      <c r="G349">
        <v>30</v>
      </c>
      <c r="H349" t="s">
        <v>14</v>
      </c>
      <c r="I349">
        <v>211.56</v>
      </c>
      <c r="J349" s="1" t="str">
        <f t="shared" si="15"/>
        <v>valid</v>
      </c>
      <c r="K349" t="e">
        <f t="shared" ca="1" si="16"/>
        <v>#NAME?</v>
      </c>
      <c r="L349" t="str">
        <f>IF(E349&gt;=80,"High Value","Normal")</f>
        <v>Normal</v>
      </c>
      <c r="M349" s="2" t="str">
        <f t="shared" si="17"/>
        <v>YES</v>
      </c>
      <c r="N349" t="str">
        <f>VLOOKUP(A349,A348:H1348,8)</f>
        <v>Home &amp; Garden</v>
      </c>
    </row>
    <row r="350" spans="1:14" x14ac:dyDescent="0.35">
      <c r="A350">
        <v>349</v>
      </c>
      <c r="B350">
        <v>44</v>
      </c>
      <c r="C350" t="s">
        <v>16</v>
      </c>
      <c r="D350">
        <v>32030</v>
      </c>
      <c r="E350">
        <v>38</v>
      </c>
      <c r="F350">
        <v>2</v>
      </c>
      <c r="G350">
        <v>19</v>
      </c>
      <c r="H350" t="s">
        <v>11</v>
      </c>
      <c r="I350">
        <v>912.15</v>
      </c>
      <c r="J350" s="1" t="str">
        <f t="shared" si="15"/>
        <v>valid</v>
      </c>
      <c r="K350" t="e">
        <f t="shared" ca="1" si="16"/>
        <v>#NAME?</v>
      </c>
      <c r="L350" t="str">
        <f>IF(E350&gt;=80,"High Value","Normal")</f>
        <v>Normal</v>
      </c>
      <c r="M350" s="2" t="b">
        <f t="shared" si="17"/>
        <v>0</v>
      </c>
      <c r="N350" t="str">
        <f>VLOOKUP(A350,A349:H1349,8)</f>
        <v>Sports</v>
      </c>
    </row>
    <row r="351" spans="1:14" x14ac:dyDescent="0.35">
      <c r="A351">
        <v>350</v>
      </c>
      <c r="B351">
        <v>56</v>
      </c>
      <c r="C351" t="s">
        <v>9</v>
      </c>
      <c r="D351">
        <v>148694</v>
      </c>
      <c r="E351">
        <v>44</v>
      </c>
      <c r="F351">
        <v>7</v>
      </c>
      <c r="G351">
        <v>13</v>
      </c>
      <c r="H351" t="s">
        <v>15</v>
      </c>
      <c r="I351">
        <v>326.5</v>
      </c>
      <c r="J351" s="1" t="str">
        <f t="shared" si="15"/>
        <v>valid</v>
      </c>
      <c r="K351" t="e">
        <f t="shared" ca="1" si="16"/>
        <v>#NAME?</v>
      </c>
      <c r="L351" t="str">
        <f>IF(E351&gt;=80,"High Value","Normal")</f>
        <v>Normal</v>
      </c>
      <c r="M351" s="2" t="b">
        <f t="shared" si="17"/>
        <v>0</v>
      </c>
      <c r="N351" t="str">
        <f>VLOOKUP(A351,A350:H1350,8)</f>
        <v>Electronics</v>
      </c>
    </row>
    <row r="352" spans="1:14" x14ac:dyDescent="0.35">
      <c r="A352">
        <v>351</v>
      </c>
      <c r="B352">
        <v>68</v>
      </c>
      <c r="C352" t="s">
        <v>13</v>
      </c>
      <c r="D352">
        <v>122661</v>
      </c>
      <c r="E352">
        <v>16</v>
      </c>
      <c r="F352">
        <v>4</v>
      </c>
      <c r="G352">
        <v>48</v>
      </c>
      <c r="H352" t="s">
        <v>10</v>
      </c>
      <c r="I352">
        <v>85.44</v>
      </c>
      <c r="J352" s="1" t="str">
        <f t="shared" si="15"/>
        <v>valid</v>
      </c>
      <c r="K352" t="e">
        <f t="shared" ca="1" si="16"/>
        <v>#NAME?</v>
      </c>
      <c r="L352" t="str">
        <f>IF(E352&gt;=80,"High Value","Normal")</f>
        <v>Normal</v>
      </c>
      <c r="M352" s="2" t="str">
        <f t="shared" si="17"/>
        <v>YES</v>
      </c>
      <c r="N352" t="str">
        <f>VLOOKUP(A352,A351:H1351,8)</f>
        <v>Groceries</v>
      </c>
    </row>
    <row r="353" spans="1:14" x14ac:dyDescent="0.35">
      <c r="A353">
        <v>352</v>
      </c>
      <c r="B353">
        <v>47</v>
      </c>
      <c r="C353" t="s">
        <v>9</v>
      </c>
      <c r="D353">
        <v>54571</v>
      </c>
      <c r="E353">
        <v>57</v>
      </c>
      <c r="F353">
        <v>4</v>
      </c>
      <c r="G353">
        <v>2</v>
      </c>
      <c r="H353" t="s">
        <v>15</v>
      </c>
      <c r="I353">
        <v>138.30000000000001</v>
      </c>
      <c r="J353" s="1" t="str">
        <f t="shared" si="15"/>
        <v>valid</v>
      </c>
      <c r="K353" t="e">
        <f t="shared" ca="1" si="16"/>
        <v>#NAME?</v>
      </c>
      <c r="L353" t="str">
        <f>IF(E353&gt;=80,"High Value","Normal")</f>
        <v>Normal</v>
      </c>
      <c r="M353" s="2" t="b">
        <f t="shared" si="17"/>
        <v>0</v>
      </c>
      <c r="N353" t="str">
        <f>VLOOKUP(A353,A352:H1352,8)</f>
        <v>Electronics</v>
      </c>
    </row>
    <row r="354" spans="1:14" x14ac:dyDescent="0.35">
      <c r="A354">
        <v>353</v>
      </c>
      <c r="B354">
        <v>61</v>
      </c>
      <c r="C354" t="s">
        <v>13</v>
      </c>
      <c r="D354">
        <v>120516</v>
      </c>
      <c r="E354">
        <v>100</v>
      </c>
      <c r="F354">
        <v>10</v>
      </c>
      <c r="G354">
        <v>47</v>
      </c>
      <c r="H354" t="s">
        <v>14</v>
      </c>
      <c r="I354">
        <v>475.52</v>
      </c>
      <c r="J354" s="1" t="str">
        <f t="shared" si="15"/>
        <v>valid</v>
      </c>
      <c r="K354" t="e">
        <f t="shared" ca="1" si="16"/>
        <v>#NAME?</v>
      </c>
      <c r="L354" t="str">
        <f>IF(E354&gt;=80,"High Value","Normal")</f>
        <v>High Value</v>
      </c>
      <c r="M354" s="2" t="str">
        <f t="shared" si="17"/>
        <v>YES</v>
      </c>
      <c r="N354" t="str">
        <f>VLOOKUP(A354,A353:H1353,8)</f>
        <v>Home &amp; Garden</v>
      </c>
    </row>
    <row r="355" spans="1:14" x14ac:dyDescent="0.35">
      <c r="A355">
        <v>354</v>
      </c>
      <c r="B355">
        <v>63</v>
      </c>
      <c r="C355" t="s">
        <v>13</v>
      </c>
      <c r="D355">
        <v>37003</v>
      </c>
      <c r="E355">
        <v>57</v>
      </c>
      <c r="F355">
        <v>4</v>
      </c>
      <c r="G355">
        <v>25</v>
      </c>
      <c r="H355" t="s">
        <v>11</v>
      </c>
      <c r="I355">
        <v>857.68</v>
      </c>
      <c r="J355" s="1" t="str">
        <f t="shared" si="15"/>
        <v>valid</v>
      </c>
      <c r="K355" t="e">
        <f t="shared" ca="1" si="16"/>
        <v>#NAME?</v>
      </c>
      <c r="L355" t="str">
        <f>IF(E355&gt;=80,"High Value","Normal")</f>
        <v>Normal</v>
      </c>
      <c r="M355" s="2" t="str">
        <f t="shared" si="17"/>
        <v>YES</v>
      </c>
      <c r="N355" t="str">
        <f>VLOOKUP(A355,A354:H1354,8)</f>
        <v>Sports</v>
      </c>
    </row>
    <row r="356" spans="1:14" x14ac:dyDescent="0.35">
      <c r="A356">
        <v>355</v>
      </c>
      <c r="B356">
        <v>38</v>
      </c>
      <c r="C356" t="s">
        <v>13</v>
      </c>
      <c r="D356">
        <v>81837</v>
      </c>
      <c r="E356">
        <v>68</v>
      </c>
      <c r="F356">
        <v>5</v>
      </c>
      <c r="G356">
        <v>6</v>
      </c>
      <c r="H356" t="s">
        <v>11</v>
      </c>
      <c r="I356">
        <v>349.35</v>
      </c>
      <c r="J356" s="1" t="str">
        <f t="shared" si="15"/>
        <v>valid</v>
      </c>
      <c r="K356" t="e">
        <f t="shared" ca="1" si="16"/>
        <v>#NAME?</v>
      </c>
      <c r="L356" t="str">
        <f>IF(E356&gt;=80,"High Value","Normal")</f>
        <v>Normal</v>
      </c>
      <c r="M356" s="2" t="b">
        <f t="shared" si="17"/>
        <v>0</v>
      </c>
      <c r="N356" t="str">
        <f>VLOOKUP(A356,A355:H1355,8)</f>
        <v>Sports</v>
      </c>
    </row>
    <row r="357" spans="1:14" x14ac:dyDescent="0.35">
      <c r="A357">
        <v>356</v>
      </c>
      <c r="B357">
        <v>32</v>
      </c>
      <c r="C357" t="s">
        <v>13</v>
      </c>
      <c r="D357">
        <v>94627</v>
      </c>
      <c r="E357">
        <v>88</v>
      </c>
      <c r="F357">
        <v>9</v>
      </c>
      <c r="G357">
        <v>30</v>
      </c>
      <c r="H357" t="s">
        <v>12</v>
      </c>
      <c r="I357">
        <v>703.94</v>
      </c>
      <c r="J357" s="1" t="str">
        <f t="shared" si="15"/>
        <v>valid</v>
      </c>
      <c r="K357" t="e">
        <f t="shared" ca="1" si="16"/>
        <v>#NAME?</v>
      </c>
      <c r="L357" t="str">
        <f>IF(E357&gt;=80,"High Value","Normal")</f>
        <v>High Value</v>
      </c>
      <c r="M357" s="2" t="str">
        <f t="shared" si="17"/>
        <v>YES</v>
      </c>
      <c r="N357" t="str">
        <f>VLOOKUP(A357,A356:H1356,8)</f>
        <v>Clothing</v>
      </c>
    </row>
    <row r="358" spans="1:14" x14ac:dyDescent="0.35">
      <c r="A358">
        <v>357</v>
      </c>
      <c r="B358">
        <v>49</v>
      </c>
      <c r="C358" t="s">
        <v>13</v>
      </c>
      <c r="D358">
        <v>103191</v>
      </c>
      <c r="E358">
        <v>34</v>
      </c>
      <c r="F358">
        <v>5</v>
      </c>
      <c r="G358">
        <v>41</v>
      </c>
      <c r="H358" t="s">
        <v>12</v>
      </c>
      <c r="I358">
        <v>253.63</v>
      </c>
      <c r="J358" s="1" t="str">
        <f t="shared" si="15"/>
        <v>valid</v>
      </c>
      <c r="K358" t="e">
        <f t="shared" ca="1" si="16"/>
        <v>#NAME?</v>
      </c>
      <c r="L358" t="str">
        <f>IF(E358&gt;=80,"High Value","Normal")</f>
        <v>Normal</v>
      </c>
      <c r="M358" s="2" t="str">
        <f t="shared" si="17"/>
        <v>YES</v>
      </c>
      <c r="N358" t="str">
        <f>VLOOKUP(A358,A357:H1357,8)</f>
        <v>Clothing</v>
      </c>
    </row>
    <row r="359" spans="1:14" x14ac:dyDescent="0.35">
      <c r="A359">
        <v>358</v>
      </c>
      <c r="B359">
        <v>57</v>
      </c>
      <c r="C359" t="s">
        <v>16</v>
      </c>
      <c r="D359">
        <v>137205</v>
      </c>
      <c r="E359">
        <v>18</v>
      </c>
      <c r="F359">
        <v>1</v>
      </c>
      <c r="G359">
        <v>21</v>
      </c>
      <c r="H359" t="s">
        <v>15</v>
      </c>
      <c r="I359">
        <v>862.12</v>
      </c>
      <c r="J359" s="1" t="str">
        <f t="shared" si="15"/>
        <v>valid</v>
      </c>
      <c r="K359" t="e">
        <f t="shared" ca="1" si="16"/>
        <v>#NAME?</v>
      </c>
      <c r="L359" t="str">
        <f>IF(E359&gt;=80,"High Value","Normal")</f>
        <v>Normal</v>
      </c>
      <c r="M359" s="2" t="str">
        <f t="shared" si="17"/>
        <v>YES</v>
      </c>
      <c r="N359" t="str">
        <f>VLOOKUP(A359,A358:H1358,8)</f>
        <v>Electronics</v>
      </c>
    </row>
    <row r="360" spans="1:14" x14ac:dyDescent="0.35">
      <c r="A360">
        <v>359</v>
      </c>
      <c r="B360">
        <v>50</v>
      </c>
      <c r="C360" t="s">
        <v>16</v>
      </c>
      <c r="D360">
        <v>85888</v>
      </c>
      <c r="E360">
        <v>19</v>
      </c>
      <c r="F360">
        <v>2</v>
      </c>
      <c r="G360">
        <v>25</v>
      </c>
      <c r="H360" t="s">
        <v>10</v>
      </c>
      <c r="I360">
        <v>910.52</v>
      </c>
      <c r="J360" s="1" t="str">
        <f t="shared" si="15"/>
        <v>valid</v>
      </c>
      <c r="K360" t="e">
        <f t="shared" ca="1" si="16"/>
        <v>#NAME?</v>
      </c>
      <c r="L360" t="str">
        <f>IF(E360&gt;=80,"High Value","Normal")</f>
        <v>Normal</v>
      </c>
      <c r="M360" s="2" t="str">
        <f t="shared" si="17"/>
        <v>YES</v>
      </c>
      <c r="N360" t="str">
        <f>VLOOKUP(A360,A359:H1359,8)</f>
        <v>Groceries</v>
      </c>
    </row>
    <row r="361" spans="1:14" x14ac:dyDescent="0.35">
      <c r="A361">
        <v>360</v>
      </c>
      <c r="B361">
        <v>38</v>
      </c>
      <c r="C361" t="s">
        <v>16</v>
      </c>
      <c r="D361">
        <v>40590</v>
      </c>
      <c r="E361">
        <v>91</v>
      </c>
      <c r="F361">
        <v>7</v>
      </c>
      <c r="G361">
        <v>27</v>
      </c>
      <c r="H361" t="s">
        <v>15</v>
      </c>
      <c r="I361">
        <v>617.64</v>
      </c>
      <c r="J361" s="1" t="str">
        <f t="shared" si="15"/>
        <v>valid</v>
      </c>
      <c r="K361" t="e">
        <f t="shared" ca="1" si="16"/>
        <v>#NAME?</v>
      </c>
      <c r="L361" t="str">
        <f>IF(E361&gt;=80,"High Value","Normal")</f>
        <v>High Value</v>
      </c>
      <c r="M361" s="2" t="str">
        <f t="shared" si="17"/>
        <v>YES</v>
      </c>
      <c r="N361" t="str">
        <f>VLOOKUP(A361,A360:H1360,8)</f>
        <v>Electronics</v>
      </c>
    </row>
    <row r="362" spans="1:14" x14ac:dyDescent="0.35">
      <c r="A362">
        <v>361</v>
      </c>
      <c r="B362">
        <v>28</v>
      </c>
      <c r="C362" t="s">
        <v>9</v>
      </c>
      <c r="D362">
        <v>130938</v>
      </c>
      <c r="E362">
        <v>98</v>
      </c>
      <c r="F362">
        <v>5</v>
      </c>
      <c r="G362">
        <v>37</v>
      </c>
      <c r="H362" t="s">
        <v>15</v>
      </c>
      <c r="I362">
        <v>612.09</v>
      </c>
      <c r="J362" s="1" t="str">
        <f t="shared" si="15"/>
        <v>valid</v>
      </c>
      <c r="K362" t="e">
        <f t="shared" ca="1" si="16"/>
        <v>#NAME?</v>
      </c>
      <c r="L362" t="str">
        <f>IF(E362&gt;=80,"High Value","Normal")</f>
        <v>High Value</v>
      </c>
      <c r="M362" s="2" t="b">
        <f t="shared" si="17"/>
        <v>0</v>
      </c>
      <c r="N362" t="str">
        <f>VLOOKUP(A362,A361:H1361,8)</f>
        <v>Electronics</v>
      </c>
    </row>
    <row r="363" spans="1:14" x14ac:dyDescent="0.35">
      <c r="A363">
        <v>362</v>
      </c>
      <c r="B363">
        <v>21</v>
      </c>
      <c r="C363" t="s">
        <v>16</v>
      </c>
      <c r="D363">
        <v>107934</v>
      </c>
      <c r="E363">
        <v>32</v>
      </c>
      <c r="F363">
        <v>5</v>
      </c>
      <c r="G363">
        <v>38</v>
      </c>
      <c r="H363" t="s">
        <v>14</v>
      </c>
      <c r="I363">
        <v>533.17999999999995</v>
      </c>
      <c r="J363" s="1" t="str">
        <f t="shared" si="15"/>
        <v>valid</v>
      </c>
      <c r="K363" t="e">
        <f t="shared" ca="1" si="16"/>
        <v>#NAME?</v>
      </c>
      <c r="L363" t="str">
        <f>IF(E363&gt;=80,"High Value","Normal")</f>
        <v>Normal</v>
      </c>
      <c r="M363" s="2" t="b">
        <f t="shared" si="17"/>
        <v>0</v>
      </c>
      <c r="N363" t="str">
        <f>VLOOKUP(A363,A362:H1362,8)</f>
        <v>Home &amp; Garden</v>
      </c>
    </row>
    <row r="364" spans="1:14" x14ac:dyDescent="0.35">
      <c r="A364">
        <v>363</v>
      </c>
      <c r="B364">
        <v>26</v>
      </c>
      <c r="C364" t="s">
        <v>13</v>
      </c>
      <c r="D364">
        <v>149741</v>
      </c>
      <c r="E364">
        <v>51</v>
      </c>
      <c r="F364">
        <v>4</v>
      </c>
      <c r="G364">
        <v>37</v>
      </c>
      <c r="H364" t="s">
        <v>14</v>
      </c>
      <c r="I364">
        <v>685.36</v>
      </c>
      <c r="J364" s="1" t="str">
        <f t="shared" si="15"/>
        <v>valid</v>
      </c>
      <c r="K364" t="e">
        <f t="shared" ca="1" si="16"/>
        <v>#NAME?</v>
      </c>
      <c r="L364" t="str">
        <f>IF(E364&gt;=80,"High Value","Normal")</f>
        <v>Normal</v>
      </c>
      <c r="M364" s="2" t="b">
        <f t="shared" si="17"/>
        <v>0</v>
      </c>
      <c r="N364" t="str">
        <f>VLOOKUP(A364,A363:H1363,8)</f>
        <v>Home &amp; Garden</v>
      </c>
    </row>
    <row r="365" spans="1:14" x14ac:dyDescent="0.35">
      <c r="A365">
        <v>364</v>
      </c>
      <c r="B365">
        <v>63</v>
      </c>
      <c r="C365" t="s">
        <v>13</v>
      </c>
      <c r="D365">
        <v>145117</v>
      </c>
      <c r="E365">
        <v>66</v>
      </c>
      <c r="F365">
        <v>7</v>
      </c>
      <c r="G365">
        <v>12</v>
      </c>
      <c r="H365" t="s">
        <v>11</v>
      </c>
      <c r="I365">
        <v>971.02</v>
      </c>
      <c r="J365" s="1" t="str">
        <f t="shared" si="15"/>
        <v>valid</v>
      </c>
      <c r="K365" t="e">
        <f t="shared" ca="1" si="16"/>
        <v>#NAME?</v>
      </c>
      <c r="L365" t="str">
        <f>IF(E365&gt;=80,"High Value","Normal")</f>
        <v>Normal</v>
      </c>
      <c r="M365" s="2" t="b">
        <f t="shared" si="17"/>
        <v>0</v>
      </c>
      <c r="N365" t="str">
        <f>VLOOKUP(A365,A364:H1364,8)</f>
        <v>Sports</v>
      </c>
    </row>
    <row r="366" spans="1:14" x14ac:dyDescent="0.35">
      <c r="A366">
        <v>365</v>
      </c>
      <c r="B366">
        <v>21</v>
      </c>
      <c r="C366" t="s">
        <v>13</v>
      </c>
      <c r="D366">
        <v>90000</v>
      </c>
      <c r="E366">
        <v>42</v>
      </c>
      <c r="F366">
        <v>4</v>
      </c>
      <c r="G366">
        <v>23</v>
      </c>
      <c r="H366" t="s">
        <v>14</v>
      </c>
      <c r="I366">
        <v>278.14999999999998</v>
      </c>
      <c r="J366" s="1" t="str">
        <f t="shared" si="15"/>
        <v>valid</v>
      </c>
      <c r="K366" t="e">
        <f t="shared" ca="1" si="16"/>
        <v>#NAME?</v>
      </c>
      <c r="L366" t="str">
        <f>IF(E366&gt;=80,"High Value","Normal")</f>
        <v>Normal</v>
      </c>
      <c r="M366" s="2" t="b">
        <f t="shared" si="17"/>
        <v>0</v>
      </c>
      <c r="N366" t="str">
        <f>VLOOKUP(A366,A365:H1365,8)</f>
        <v>Home &amp; Garden</v>
      </c>
    </row>
    <row r="367" spans="1:14" x14ac:dyDescent="0.35">
      <c r="A367">
        <v>366</v>
      </c>
      <c r="B367">
        <v>19</v>
      </c>
      <c r="C367" t="s">
        <v>13</v>
      </c>
      <c r="D367">
        <v>105019</v>
      </c>
      <c r="E367">
        <v>84</v>
      </c>
      <c r="F367">
        <v>8</v>
      </c>
      <c r="G367">
        <v>32</v>
      </c>
      <c r="H367" t="s">
        <v>12</v>
      </c>
      <c r="I367">
        <v>735.3</v>
      </c>
      <c r="J367" s="1" t="str">
        <f t="shared" si="15"/>
        <v>valid</v>
      </c>
      <c r="K367" t="e">
        <f t="shared" ca="1" si="16"/>
        <v>#NAME?</v>
      </c>
      <c r="L367" t="str">
        <f>IF(E367&gt;=80,"High Value","Normal")</f>
        <v>High Value</v>
      </c>
      <c r="M367" s="2" t="b">
        <f t="shared" si="17"/>
        <v>0</v>
      </c>
      <c r="N367" t="str">
        <f>VLOOKUP(A367,A366:H1366,8)</f>
        <v>Clothing</v>
      </c>
    </row>
    <row r="368" spans="1:14" x14ac:dyDescent="0.35">
      <c r="A368">
        <v>367</v>
      </c>
      <c r="B368">
        <v>65</v>
      </c>
      <c r="C368" t="s">
        <v>9</v>
      </c>
      <c r="D368">
        <v>65576</v>
      </c>
      <c r="E368">
        <v>91</v>
      </c>
      <c r="F368">
        <v>5</v>
      </c>
      <c r="G368">
        <v>12</v>
      </c>
      <c r="H368" t="s">
        <v>12</v>
      </c>
      <c r="I368">
        <v>782.55</v>
      </c>
      <c r="J368" s="1" t="str">
        <f t="shared" si="15"/>
        <v>valid</v>
      </c>
      <c r="K368" t="e">
        <f t="shared" ca="1" si="16"/>
        <v>#NAME?</v>
      </c>
      <c r="L368" t="str">
        <f>IF(E368&gt;=80,"High Value","Normal")</f>
        <v>High Value</v>
      </c>
      <c r="M368" s="2" t="b">
        <f t="shared" si="17"/>
        <v>0</v>
      </c>
      <c r="N368" t="str">
        <f>VLOOKUP(A368,A367:H1367,8)</f>
        <v>Clothing</v>
      </c>
    </row>
    <row r="369" spans="1:14" x14ac:dyDescent="0.35">
      <c r="A369">
        <v>368</v>
      </c>
      <c r="B369">
        <v>53</v>
      </c>
      <c r="C369" t="s">
        <v>9</v>
      </c>
      <c r="D369">
        <v>130474</v>
      </c>
      <c r="E369">
        <v>74</v>
      </c>
      <c r="F369">
        <v>10</v>
      </c>
      <c r="G369">
        <v>39</v>
      </c>
      <c r="H369" t="s">
        <v>14</v>
      </c>
      <c r="I369">
        <v>217.92</v>
      </c>
      <c r="J369" s="1" t="str">
        <f t="shared" si="15"/>
        <v>valid</v>
      </c>
      <c r="K369" t="e">
        <f t="shared" ca="1" si="16"/>
        <v>#NAME?</v>
      </c>
      <c r="L369" t="str">
        <f>IF(E369&gt;=80,"High Value","Normal")</f>
        <v>Normal</v>
      </c>
      <c r="M369" s="2" t="str">
        <f t="shared" si="17"/>
        <v>YES</v>
      </c>
      <c r="N369" t="str">
        <f>VLOOKUP(A369,A368:H1368,8)</f>
        <v>Home &amp; Garden</v>
      </c>
    </row>
    <row r="370" spans="1:14" x14ac:dyDescent="0.35">
      <c r="A370">
        <v>369</v>
      </c>
      <c r="B370">
        <v>63</v>
      </c>
      <c r="C370" t="s">
        <v>13</v>
      </c>
      <c r="D370">
        <v>77411</v>
      </c>
      <c r="E370">
        <v>20</v>
      </c>
      <c r="F370">
        <v>2</v>
      </c>
      <c r="G370">
        <v>37</v>
      </c>
      <c r="H370" t="s">
        <v>11</v>
      </c>
      <c r="I370">
        <v>648.38</v>
      </c>
      <c r="J370" s="1" t="str">
        <f t="shared" si="15"/>
        <v>valid</v>
      </c>
      <c r="K370" t="e">
        <f t="shared" ca="1" si="16"/>
        <v>#NAME?</v>
      </c>
      <c r="L370" t="str">
        <f>IF(E370&gt;=80,"High Value","Normal")</f>
        <v>Normal</v>
      </c>
      <c r="M370" s="2" t="str">
        <f t="shared" si="17"/>
        <v>YES</v>
      </c>
      <c r="N370" t="str">
        <f>VLOOKUP(A370,A369:H1369,8)</f>
        <v>Sports</v>
      </c>
    </row>
    <row r="371" spans="1:14" x14ac:dyDescent="0.35">
      <c r="A371">
        <v>370</v>
      </c>
      <c r="B371">
        <v>23</v>
      </c>
      <c r="C371" t="s">
        <v>9</v>
      </c>
      <c r="D371">
        <v>30751</v>
      </c>
      <c r="E371">
        <v>99</v>
      </c>
      <c r="F371">
        <v>9</v>
      </c>
      <c r="G371">
        <v>26</v>
      </c>
      <c r="H371" t="s">
        <v>15</v>
      </c>
      <c r="I371">
        <v>696.9</v>
      </c>
      <c r="J371" s="1" t="str">
        <f t="shared" si="15"/>
        <v>valid</v>
      </c>
      <c r="K371" t="e">
        <f t="shared" ca="1" si="16"/>
        <v>#NAME?</v>
      </c>
      <c r="L371" t="str">
        <f>IF(E371&gt;=80,"High Value","Normal")</f>
        <v>High Value</v>
      </c>
      <c r="M371" s="2" t="b">
        <f t="shared" si="17"/>
        <v>0</v>
      </c>
      <c r="N371" t="str">
        <f>VLOOKUP(A371,A370:H1370,8)</f>
        <v>Electronics</v>
      </c>
    </row>
    <row r="372" spans="1:14" x14ac:dyDescent="0.35">
      <c r="A372">
        <v>371</v>
      </c>
      <c r="B372">
        <v>20</v>
      </c>
      <c r="C372" t="s">
        <v>16</v>
      </c>
      <c r="D372">
        <v>87520</v>
      </c>
      <c r="E372">
        <v>93</v>
      </c>
      <c r="F372">
        <v>4</v>
      </c>
      <c r="G372">
        <v>3</v>
      </c>
      <c r="H372" t="s">
        <v>10</v>
      </c>
      <c r="I372">
        <v>459.87</v>
      </c>
      <c r="J372" s="1" t="str">
        <f t="shared" si="15"/>
        <v>valid</v>
      </c>
      <c r="K372" t="e">
        <f t="shared" ca="1" si="16"/>
        <v>#NAME?</v>
      </c>
      <c r="L372" t="str">
        <f>IF(E372&gt;=80,"High Value","Normal")</f>
        <v>High Value</v>
      </c>
      <c r="M372" s="2" t="b">
        <f t="shared" si="17"/>
        <v>0</v>
      </c>
      <c r="N372" t="str">
        <f>VLOOKUP(A372,A371:H1371,8)</f>
        <v>Groceries</v>
      </c>
    </row>
    <row r="373" spans="1:14" x14ac:dyDescent="0.35">
      <c r="A373">
        <v>372</v>
      </c>
      <c r="B373">
        <v>39</v>
      </c>
      <c r="C373" t="s">
        <v>9</v>
      </c>
      <c r="D373">
        <v>53805</v>
      </c>
      <c r="E373">
        <v>71</v>
      </c>
      <c r="F373">
        <v>5</v>
      </c>
      <c r="G373">
        <v>16</v>
      </c>
      <c r="H373" t="s">
        <v>11</v>
      </c>
      <c r="I373">
        <v>372.03</v>
      </c>
      <c r="J373" s="1" t="str">
        <f t="shared" si="15"/>
        <v>valid</v>
      </c>
      <c r="K373" t="e">
        <f t="shared" ca="1" si="16"/>
        <v>#NAME?</v>
      </c>
      <c r="L373" t="str">
        <f>IF(E373&gt;=80,"High Value","Normal")</f>
        <v>Normal</v>
      </c>
      <c r="M373" s="2" t="b">
        <f t="shared" si="17"/>
        <v>0</v>
      </c>
      <c r="N373" t="str">
        <f>VLOOKUP(A373,A372:H1372,8)</f>
        <v>Sports</v>
      </c>
    </row>
    <row r="374" spans="1:14" x14ac:dyDescent="0.35">
      <c r="A374">
        <v>373</v>
      </c>
      <c r="B374">
        <v>30</v>
      </c>
      <c r="C374" t="s">
        <v>13</v>
      </c>
      <c r="D374">
        <v>80320</v>
      </c>
      <c r="E374">
        <v>91</v>
      </c>
      <c r="F374">
        <v>1</v>
      </c>
      <c r="G374">
        <v>31</v>
      </c>
      <c r="H374" t="s">
        <v>15</v>
      </c>
      <c r="I374">
        <v>930.97</v>
      </c>
      <c r="J374" s="1" t="str">
        <f t="shared" si="15"/>
        <v>valid</v>
      </c>
      <c r="K374" t="e">
        <f t="shared" ca="1" si="16"/>
        <v>#NAME?</v>
      </c>
      <c r="L374" t="str">
        <f>IF(E374&gt;=80,"High Value","Normal")</f>
        <v>High Value</v>
      </c>
      <c r="M374" s="2" t="b">
        <f t="shared" si="17"/>
        <v>0</v>
      </c>
      <c r="N374" t="str">
        <f>VLOOKUP(A374,A373:H1373,8)</f>
        <v>Electronics</v>
      </c>
    </row>
    <row r="375" spans="1:14" x14ac:dyDescent="0.35">
      <c r="A375">
        <v>374</v>
      </c>
      <c r="B375">
        <v>64</v>
      </c>
      <c r="C375" t="s">
        <v>13</v>
      </c>
      <c r="D375">
        <v>84380</v>
      </c>
      <c r="E375">
        <v>69</v>
      </c>
      <c r="F375">
        <v>10</v>
      </c>
      <c r="G375">
        <v>28</v>
      </c>
      <c r="H375" t="s">
        <v>11</v>
      </c>
      <c r="I375">
        <v>212.08</v>
      </c>
      <c r="J375" s="1" t="str">
        <f t="shared" si="15"/>
        <v>valid</v>
      </c>
      <c r="K375" t="e">
        <f t="shared" ca="1" si="16"/>
        <v>#NAME?</v>
      </c>
      <c r="L375" t="str">
        <f>IF(E375&gt;=80,"High Value","Normal")</f>
        <v>Normal</v>
      </c>
      <c r="M375" s="2" t="str">
        <f t="shared" si="17"/>
        <v>YES</v>
      </c>
      <c r="N375" t="str">
        <f>VLOOKUP(A375,A374:H1374,8)</f>
        <v>Sports</v>
      </c>
    </row>
    <row r="376" spans="1:14" x14ac:dyDescent="0.35">
      <c r="A376">
        <v>375</v>
      </c>
      <c r="B376">
        <v>33</v>
      </c>
      <c r="C376" t="s">
        <v>9</v>
      </c>
      <c r="D376">
        <v>58367</v>
      </c>
      <c r="E376">
        <v>11</v>
      </c>
      <c r="F376">
        <v>4</v>
      </c>
      <c r="G376">
        <v>29</v>
      </c>
      <c r="H376" t="s">
        <v>10</v>
      </c>
      <c r="I376">
        <v>826.87</v>
      </c>
      <c r="J376" s="1" t="str">
        <f t="shared" si="15"/>
        <v>valid</v>
      </c>
      <c r="K376" t="e">
        <f t="shared" ca="1" si="16"/>
        <v>#NAME?</v>
      </c>
      <c r="L376" t="str">
        <f>IF(E376&gt;=80,"High Value","Normal")</f>
        <v>Normal</v>
      </c>
      <c r="M376" s="2" t="str">
        <f t="shared" si="17"/>
        <v>YES</v>
      </c>
      <c r="N376" t="str">
        <f>VLOOKUP(A376,A375:H1375,8)</f>
        <v>Groceries</v>
      </c>
    </row>
    <row r="377" spans="1:14" x14ac:dyDescent="0.35">
      <c r="A377">
        <v>376</v>
      </c>
      <c r="B377">
        <v>25</v>
      </c>
      <c r="C377" t="s">
        <v>9</v>
      </c>
      <c r="D377">
        <v>56110</v>
      </c>
      <c r="E377">
        <v>36</v>
      </c>
      <c r="F377">
        <v>5</v>
      </c>
      <c r="G377">
        <v>42</v>
      </c>
      <c r="H377" t="s">
        <v>15</v>
      </c>
      <c r="I377">
        <v>389.97</v>
      </c>
      <c r="J377" s="1" t="str">
        <f t="shared" si="15"/>
        <v>valid</v>
      </c>
      <c r="K377" t="e">
        <f t="shared" ca="1" si="16"/>
        <v>#NAME?</v>
      </c>
      <c r="L377" t="str">
        <f>IF(E377&gt;=80,"High Value","Normal")</f>
        <v>Normal</v>
      </c>
      <c r="M377" s="2" t="b">
        <f t="shared" si="17"/>
        <v>0</v>
      </c>
      <c r="N377" t="str">
        <f>VLOOKUP(A377,A376:H1376,8)</f>
        <v>Electronics</v>
      </c>
    </row>
    <row r="378" spans="1:14" x14ac:dyDescent="0.35">
      <c r="A378">
        <v>377</v>
      </c>
      <c r="B378">
        <v>46</v>
      </c>
      <c r="C378" t="s">
        <v>16</v>
      </c>
      <c r="D378">
        <v>123037</v>
      </c>
      <c r="E378">
        <v>100</v>
      </c>
      <c r="F378">
        <v>1</v>
      </c>
      <c r="G378">
        <v>9</v>
      </c>
      <c r="H378" t="s">
        <v>14</v>
      </c>
      <c r="I378">
        <v>617.74</v>
      </c>
      <c r="J378" s="1" t="str">
        <f t="shared" si="15"/>
        <v>valid</v>
      </c>
      <c r="K378" t="e">
        <f t="shared" ca="1" si="16"/>
        <v>#NAME?</v>
      </c>
      <c r="L378" t="str">
        <f>IF(E378&gt;=80,"High Value","Normal")</f>
        <v>High Value</v>
      </c>
      <c r="M378" s="2" t="b">
        <f t="shared" si="17"/>
        <v>0</v>
      </c>
      <c r="N378" t="str">
        <f>VLOOKUP(A378,A377:H1377,8)</f>
        <v>Home &amp; Garden</v>
      </c>
    </row>
    <row r="379" spans="1:14" x14ac:dyDescent="0.35">
      <c r="A379">
        <v>378</v>
      </c>
      <c r="B379">
        <v>45</v>
      </c>
      <c r="C379" t="s">
        <v>9</v>
      </c>
      <c r="D379">
        <v>110174</v>
      </c>
      <c r="E379">
        <v>87</v>
      </c>
      <c r="F379">
        <v>5</v>
      </c>
      <c r="G379">
        <v>32</v>
      </c>
      <c r="H379" t="s">
        <v>14</v>
      </c>
      <c r="I379">
        <v>388.15</v>
      </c>
      <c r="J379" s="1" t="str">
        <f t="shared" si="15"/>
        <v>valid</v>
      </c>
      <c r="K379" t="e">
        <f t="shared" ca="1" si="16"/>
        <v>#NAME?</v>
      </c>
      <c r="L379" t="str">
        <f>IF(E379&gt;=80,"High Value","Normal")</f>
        <v>High Value</v>
      </c>
      <c r="M379" s="2" t="str">
        <f t="shared" si="17"/>
        <v>YES</v>
      </c>
      <c r="N379" t="str">
        <f>VLOOKUP(A379,A378:H1378,8)</f>
        <v>Home &amp; Garden</v>
      </c>
    </row>
    <row r="380" spans="1:14" x14ac:dyDescent="0.35">
      <c r="A380">
        <v>379</v>
      </c>
      <c r="B380">
        <v>41</v>
      </c>
      <c r="C380" t="s">
        <v>9</v>
      </c>
      <c r="D380">
        <v>30074</v>
      </c>
      <c r="E380">
        <v>95</v>
      </c>
      <c r="F380">
        <v>8</v>
      </c>
      <c r="G380">
        <v>19</v>
      </c>
      <c r="H380" t="s">
        <v>12</v>
      </c>
      <c r="I380">
        <v>78.819999999999993</v>
      </c>
      <c r="J380" s="1" t="str">
        <f t="shared" si="15"/>
        <v>valid</v>
      </c>
      <c r="K380" t="e">
        <f t="shared" ca="1" si="16"/>
        <v>#NAME?</v>
      </c>
      <c r="L380" t="str">
        <f>IF(E380&gt;=80,"High Value","Normal")</f>
        <v>High Value</v>
      </c>
      <c r="M380" s="2" t="b">
        <f t="shared" si="17"/>
        <v>0</v>
      </c>
      <c r="N380" t="str">
        <f>VLOOKUP(A380,A379:H1379,8)</f>
        <v>Clothing</v>
      </c>
    </row>
    <row r="381" spans="1:14" x14ac:dyDescent="0.35">
      <c r="A381">
        <v>380</v>
      </c>
      <c r="B381">
        <v>59</v>
      </c>
      <c r="C381" t="s">
        <v>13</v>
      </c>
      <c r="D381">
        <v>140349</v>
      </c>
      <c r="E381">
        <v>75</v>
      </c>
      <c r="F381">
        <v>2</v>
      </c>
      <c r="G381">
        <v>6</v>
      </c>
      <c r="H381" t="s">
        <v>11</v>
      </c>
      <c r="I381">
        <v>383.64</v>
      </c>
      <c r="J381" s="1" t="str">
        <f t="shared" si="15"/>
        <v>valid</v>
      </c>
      <c r="K381" t="e">
        <f t="shared" ca="1" si="16"/>
        <v>#NAME?</v>
      </c>
      <c r="L381" t="str">
        <f>IF(E381&gt;=80,"High Value","Normal")</f>
        <v>Normal</v>
      </c>
      <c r="M381" s="2" t="b">
        <f t="shared" si="17"/>
        <v>0</v>
      </c>
      <c r="N381" t="str">
        <f>VLOOKUP(A381,A380:H1380,8)</f>
        <v>Sports</v>
      </c>
    </row>
    <row r="382" spans="1:14" x14ac:dyDescent="0.35">
      <c r="A382">
        <v>381</v>
      </c>
      <c r="B382">
        <v>67</v>
      </c>
      <c r="C382" t="s">
        <v>9</v>
      </c>
      <c r="D382">
        <v>104036</v>
      </c>
      <c r="E382">
        <v>56</v>
      </c>
      <c r="F382">
        <v>10</v>
      </c>
      <c r="G382">
        <v>37</v>
      </c>
      <c r="H382" t="s">
        <v>11</v>
      </c>
      <c r="I382">
        <v>998.98</v>
      </c>
      <c r="J382" s="1" t="str">
        <f t="shared" si="15"/>
        <v>valid</v>
      </c>
      <c r="K382" t="e">
        <f t="shared" ca="1" si="16"/>
        <v>#NAME?</v>
      </c>
      <c r="L382" t="str">
        <f>IF(E382&gt;=80,"High Value","Normal")</f>
        <v>Normal</v>
      </c>
      <c r="M382" s="2" t="str">
        <f t="shared" si="17"/>
        <v>YES</v>
      </c>
      <c r="N382" t="str">
        <f>VLOOKUP(A382,A381:H1381,8)</f>
        <v>Sports</v>
      </c>
    </row>
    <row r="383" spans="1:14" x14ac:dyDescent="0.35">
      <c r="A383">
        <v>382</v>
      </c>
      <c r="B383">
        <v>68</v>
      </c>
      <c r="C383" t="s">
        <v>13</v>
      </c>
      <c r="D383">
        <v>93926</v>
      </c>
      <c r="E383">
        <v>45</v>
      </c>
      <c r="F383">
        <v>5</v>
      </c>
      <c r="G383">
        <v>22</v>
      </c>
      <c r="H383" t="s">
        <v>15</v>
      </c>
      <c r="I383">
        <v>19.14</v>
      </c>
      <c r="J383" s="1" t="str">
        <f t="shared" si="15"/>
        <v>valid</v>
      </c>
      <c r="K383" t="e">
        <f t="shared" ca="1" si="16"/>
        <v>#NAME?</v>
      </c>
      <c r="L383" t="str">
        <f>IF(E383&gt;=80,"High Value","Normal")</f>
        <v>Normal</v>
      </c>
      <c r="M383" s="2" t="str">
        <f t="shared" si="17"/>
        <v>YES</v>
      </c>
      <c r="N383" t="str">
        <f>VLOOKUP(A383,A382:H1382,8)</f>
        <v>Electronics</v>
      </c>
    </row>
    <row r="384" spans="1:14" x14ac:dyDescent="0.35">
      <c r="A384">
        <v>383</v>
      </c>
      <c r="B384">
        <v>65</v>
      </c>
      <c r="C384" t="s">
        <v>16</v>
      </c>
      <c r="D384">
        <v>124796</v>
      </c>
      <c r="E384">
        <v>4</v>
      </c>
      <c r="F384">
        <v>5</v>
      </c>
      <c r="G384">
        <v>38</v>
      </c>
      <c r="H384" t="s">
        <v>11</v>
      </c>
      <c r="I384">
        <v>247.96</v>
      </c>
      <c r="J384" s="1" t="str">
        <f t="shared" si="15"/>
        <v>valid</v>
      </c>
      <c r="K384" t="e">
        <f t="shared" ca="1" si="16"/>
        <v>#NAME?</v>
      </c>
      <c r="L384" t="str">
        <f>IF(E384&gt;=80,"High Value","Normal")</f>
        <v>Normal</v>
      </c>
      <c r="M384" s="2" t="str">
        <f t="shared" si="17"/>
        <v>YES</v>
      </c>
      <c r="N384" t="str">
        <f>VLOOKUP(A384,A383:H1383,8)</f>
        <v>Sports</v>
      </c>
    </row>
    <row r="385" spans="1:14" x14ac:dyDescent="0.35">
      <c r="A385">
        <v>384</v>
      </c>
      <c r="B385">
        <v>46</v>
      </c>
      <c r="C385" t="s">
        <v>16</v>
      </c>
      <c r="D385">
        <v>120914</v>
      </c>
      <c r="E385">
        <v>1</v>
      </c>
      <c r="F385">
        <v>1</v>
      </c>
      <c r="G385">
        <v>41</v>
      </c>
      <c r="H385" t="s">
        <v>14</v>
      </c>
      <c r="I385">
        <v>329.9</v>
      </c>
      <c r="J385" s="1" t="str">
        <f t="shared" si="15"/>
        <v>valid</v>
      </c>
      <c r="K385" t="e">
        <f t="shared" ca="1" si="16"/>
        <v>#NAME?</v>
      </c>
      <c r="L385" t="str">
        <f>IF(E385&gt;=80,"High Value","Normal")</f>
        <v>Normal</v>
      </c>
      <c r="M385" s="2" t="str">
        <f t="shared" si="17"/>
        <v>YES</v>
      </c>
      <c r="N385" t="str">
        <f>VLOOKUP(A385,A384:H1384,8)</f>
        <v>Home &amp; Garden</v>
      </c>
    </row>
    <row r="386" spans="1:14" x14ac:dyDescent="0.35">
      <c r="A386">
        <v>385</v>
      </c>
      <c r="B386">
        <v>38</v>
      </c>
      <c r="C386" t="s">
        <v>16</v>
      </c>
      <c r="D386">
        <v>78829</v>
      </c>
      <c r="E386">
        <v>73</v>
      </c>
      <c r="F386">
        <v>7</v>
      </c>
      <c r="G386">
        <v>20</v>
      </c>
      <c r="H386" t="s">
        <v>11</v>
      </c>
      <c r="I386">
        <v>665.25</v>
      </c>
      <c r="J386" s="1" t="str">
        <f t="shared" si="15"/>
        <v>valid</v>
      </c>
      <c r="K386" t="e">
        <f t="shared" ca="1" si="16"/>
        <v>#NAME?</v>
      </c>
      <c r="L386" t="str">
        <f>IF(E386&gt;=80,"High Value","Normal")</f>
        <v>Normal</v>
      </c>
      <c r="M386" s="2" t="b">
        <f t="shared" si="17"/>
        <v>0</v>
      </c>
      <c r="N386" t="str">
        <f>VLOOKUP(A386,A385:H1385,8)</f>
        <v>Sports</v>
      </c>
    </row>
    <row r="387" spans="1:14" x14ac:dyDescent="0.35">
      <c r="A387">
        <v>386</v>
      </c>
      <c r="B387">
        <v>69</v>
      </c>
      <c r="C387" t="s">
        <v>16</v>
      </c>
      <c r="D387">
        <v>105810</v>
      </c>
      <c r="E387">
        <v>57</v>
      </c>
      <c r="F387">
        <v>6</v>
      </c>
      <c r="G387">
        <v>28</v>
      </c>
      <c r="H387" t="s">
        <v>10</v>
      </c>
      <c r="I387">
        <v>985.94</v>
      </c>
      <c r="J387" s="1" t="str">
        <f t="shared" ref="J387:J450" si="18">IF(AND(B387&gt;=18, B387&lt;=100), "valid", "invalid")</f>
        <v>valid</v>
      </c>
      <c r="K387" t="e">
        <f t="shared" ref="K387:K450" ca="1" si="19">IFS(OR(C387= "Female",C387="female",C387= "F"), "Female", OR(C387="Male", C387="male",C387= "M"), "Male", TRUE, "Other")</f>
        <v>#NAME?</v>
      </c>
      <c r="L387" t="str">
        <f>IF(E387&gt;=80,"High Value","Normal")</f>
        <v>Normal</v>
      </c>
      <c r="M387" s="2" t="str">
        <f t="shared" ref="M387:M450" si="20">IF(AND(B387&gt;30,G387&gt;20), "YES")</f>
        <v>YES</v>
      </c>
      <c r="N387" t="str">
        <f>VLOOKUP(A387,A386:H1386,8)</f>
        <v>Groceries</v>
      </c>
    </row>
    <row r="388" spans="1:14" x14ac:dyDescent="0.35">
      <c r="A388">
        <v>387</v>
      </c>
      <c r="B388">
        <v>51</v>
      </c>
      <c r="C388" t="s">
        <v>9</v>
      </c>
      <c r="D388">
        <v>105658</v>
      </c>
      <c r="E388">
        <v>49</v>
      </c>
      <c r="F388">
        <v>9</v>
      </c>
      <c r="G388">
        <v>9</v>
      </c>
      <c r="H388" t="s">
        <v>15</v>
      </c>
      <c r="I388">
        <v>785.55</v>
      </c>
      <c r="J388" s="1" t="str">
        <f t="shared" si="18"/>
        <v>valid</v>
      </c>
      <c r="K388" t="e">
        <f t="shared" ca="1" si="19"/>
        <v>#NAME?</v>
      </c>
      <c r="L388" t="str">
        <f>IF(E388&gt;=80,"High Value","Normal")</f>
        <v>Normal</v>
      </c>
      <c r="M388" s="2" t="b">
        <f t="shared" si="20"/>
        <v>0</v>
      </c>
      <c r="N388" t="str">
        <f>VLOOKUP(A388,A387:H1387,8)</f>
        <v>Electronics</v>
      </c>
    </row>
    <row r="389" spans="1:14" x14ac:dyDescent="0.35">
      <c r="A389">
        <v>388</v>
      </c>
      <c r="B389">
        <v>25</v>
      </c>
      <c r="C389" t="s">
        <v>9</v>
      </c>
      <c r="D389">
        <v>100053</v>
      </c>
      <c r="E389">
        <v>6</v>
      </c>
      <c r="F389">
        <v>5</v>
      </c>
      <c r="G389">
        <v>33</v>
      </c>
      <c r="H389" t="s">
        <v>15</v>
      </c>
      <c r="I389">
        <v>832.57</v>
      </c>
      <c r="J389" s="1" t="str">
        <f t="shared" si="18"/>
        <v>valid</v>
      </c>
      <c r="K389" t="e">
        <f t="shared" ca="1" si="19"/>
        <v>#NAME?</v>
      </c>
      <c r="L389" t="str">
        <f>IF(E389&gt;=80,"High Value","Normal")</f>
        <v>Normal</v>
      </c>
      <c r="M389" s="2" t="b">
        <f t="shared" si="20"/>
        <v>0</v>
      </c>
      <c r="N389" t="str">
        <f>VLOOKUP(A389,A388:H1388,8)</f>
        <v>Electronics</v>
      </c>
    </row>
    <row r="390" spans="1:14" x14ac:dyDescent="0.35">
      <c r="A390">
        <v>389</v>
      </c>
      <c r="B390">
        <v>34</v>
      </c>
      <c r="C390" t="s">
        <v>13</v>
      </c>
      <c r="D390">
        <v>118622</v>
      </c>
      <c r="E390">
        <v>99</v>
      </c>
      <c r="F390">
        <v>4</v>
      </c>
      <c r="G390">
        <v>47</v>
      </c>
      <c r="H390" t="s">
        <v>11</v>
      </c>
      <c r="I390">
        <v>122.21</v>
      </c>
      <c r="J390" s="1" t="str">
        <f t="shared" si="18"/>
        <v>valid</v>
      </c>
      <c r="K390" t="e">
        <f t="shared" ca="1" si="19"/>
        <v>#NAME?</v>
      </c>
      <c r="L390" t="str">
        <f>IF(E390&gt;=80,"High Value","Normal")</f>
        <v>High Value</v>
      </c>
      <c r="M390" s="2" t="str">
        <f t="shared" si="20"/>
        <v>YES</v>
      </c>
      <c r="N390" t="str">
        <f>VLOOKUP(A390,A389:H1389,8)</f>
        <v>Sports</v>
      </c>
    </row>
    <row r="391" spans="1:14" x14ac:dyDescent="0.35">
      <c r="A391">
        <v>390</v>
      </c>
      <c r="B391">
        <v>37</v>
      </c>
      <c r="C391" t="s">
        <v>16</v>
      </c>
      <c r="D391">
        <v>65343</v>
      </c>
      <c r="E391">
        <v>89</v>
      </c>
      <c r="F391">
        <v>3</v>
      </c>
      <c r="G391">
        <v>2</v>
      </c>
      <c r="H391" t="s">
        <v>15</v>
      </c>
      <c r="I391">
        <v>668.23</v>
      </c>
      <c r="J391" s="1" t="str">
        <f t="shared" si="18"/>
        <v>valid</v>
      </c>
      <c r="K391" t="e">
        <f t="shared" ca="1" si="19"/>
        <v>#NAME?</v>
      </c>
      <c r="L391" t="str">
        <f>IF(E391&gt;=80,"High Value","Normal")</f>
        <v>High Value</v>
      </c>
      <c r="M391" s="2" t="b">
        <f t="shared" si="20"/>
        <v>0</v>
      </c>
      <c r="N391" t="str">
        <f>VLOOKUP(A391,A390:H1390,8)</f>
        <v>Electronics</v>
      </c>
    </row>
    <row r="392" spans="1:14" x14ac:dyDescent="0.35">
      <c r="A392">
        <v>391</v>
      </c>
      <c r="B392">
        <v>67</v>
      </c>
      <c r="C392" t="s">
        <v>9</v>
      </c>
      <c r="D392">
        <v>101759</v>
      </c>
      <c r="E392">
        <v>57</v>
      </c>
      <c r="F392">
        <v>3</v>
      </c>
      <c r="G392">
        <v>19</v>
      </c>
      <c r="H392" t="s">
        <v>11</v>
      </c>
      <c r="I392">
        <v>670.51</v>
      </c>
      <c r="J392" s="1" t="str">
        <f t="shared" si="18"/>
        <v>valid</v>
      </c>
      <c r="K392" t="e">
        <f t="shared" ca="1" si="19"/>
        <v>#NAME?</v>
      </c>
      <c r="L392" t="str">
        <f>IF(E392&gt;=80,"High Value","Normal")</f>
        <v>Normal</v>
      </c>
      <c r="M392" s="2" t="b">
        <f t="shared" si="20"/>
        <v>0</v>
      </c>
      <c r="N392" t="str">
        <f>VLOOKUP(A392,A391:H1391,8)</f>
        <v>Sports</v>
      </c>
    </row>
    <row r="393" spans="1:14" x14ac:dyDescent="0.35">
      <c r="A393">
        <v>392</v>
      </c>
      <c r="B393">
        <v>28</v>
      </c>
      <c r="C393" t="s">
        <v>16</v>
      </c>
      <c r="D393">
        <v>59278</v>
      </c>
      <c r="E393">
        <v>60</v>
      </c>
      <c r="F393">
        <v>2</v>
      </c>
      <c r="G393">
        <v>8</v>
      </c>
      <c r="H393" t="s">
        <v>14</v>
      </c>
      <c r="I393">
        <v>362.41</v>
      </c>
      <c r="J393" s="1" t="str">
        <f t="shared" si="18"/>
        <v>valid</v>
      </c>
      <c r="K393" t="e">
        <f t="shared" ca="1" si="19"/>
        <v>#NAME?</v>
      </c>
      <c r="L393" t="str">
        <f>IF(E393&gt;=80,"High Value","Normal")</f>
        <v>Normal</v>
      </c>
      <c r="M393" s="2" t="b">
        <f t="shared" si="20"/>
        <v>0</v>
      </c>
      <c r="N393" t="str">
        <f>VLOOKUP(A393,A392:H1392,8)</f>
        <v>Home &amp; Garden</v>
      </c>
    </row>
    <row r="394" spans="1:14" x14ac:dyDescent="0.35">
      <c r="A394">
        <v>393</v>
      </c>
      <c r="B394">
        <v>55</v>
      </c>
      <c r="C394" t="s">
        <v>9</v>
      </c>
      <c r="D394">
        <v>127542</v>
      </c>
      <c r="E394">
        <v>79</v>
      </c>
      <c r="F394">
        <v>8</v>
      </c>
      <c r="G394">
        <v>12</v>
      </c>
      <c r="H394" t="s">
        <v>12</v>
      </c>
      <c r="I394">
        <v>632.6</v>
      </c>
      <c r="J394" s="1" t="str">
        <f t="shared" si="18"/>
        <v>valid</v>
      </c>
      <c r="K394" t="e">
        <f t="shared" ca="1" si="19"/>
        <v>#NAME?</v>
      </c>
      <c r="L394" t="str">
        <f>IF(E394&gt;=80,"High Value","Normal")</f>
        <v>Normal</v>
      </c>
      <c r="M394" s="2" t="b">
        <f t="shared" si="20"/>
        <v>0</v>
      </c>
      <c r="N394" t="str">
        <f>VLOOKUP(A394,A393:H1393,8)</f>
        <v>Clothing</v>
      </c>
    </row>
    <row r="395" spans="1:14" x14ac:dyDescent="0.35">
      <c r="A395">
        <v>394</v>
      </c>
      <c r="B395">
        <v>69</v>
      </c>
      <c r="C395" t="s">
        <v>9</v>
      </c>
      <c r="D395">
        <v>74331</v>
      </c>
      <c r="E395">
        <v>83</v>
      </c>
      <c r="F395">
        <v>9</v>
      </c>
      <c r="G395">
        <v>11</v>
      </c>
      <c r="H395" t="s">
        <v>12</v>
      </c>
      <c r="I395">
        <v>341.63</v>
      </c>
      <c r="J395" s="1" t="str">
        <f t="shared" si="18"/>
        <v>valid</v>
      </c>
      <c r="K395" t="e">
        <f t="shared" ca="1" si="19"/>
        <v>#NAME?</v>
      </c>
      <c r="L395" t="str">
        <f>IF(E395&gt;=80,"High Value","Normal")</f>
        <v>High Value</v>
      </c>
      <c r="M395" s="2" t="b">
        <f t="shared" si="20"/>
        <v>0</v>
      </c>
      <c r="N395" t="str">
        <f>VLOOKUP(A395,A394:H1394,8)</f>
        <v>Clothing</v>
      </c>
    </row>
    <row r="396" spans="1:14" x14ac:dyDescent="0.35">
      <c r="A396">
        <v>395</v>
      </c>
      <c r="B396">
        <v>69</v>
      </c>
      <c r="C396" t="s">
        <v>9</v>
      </c>
      <c r="D396">
        <v>119075</v>
      </c>
      <c r="E396">
        <v>40</v>
      </c>
      <c r="F396">
        <v>8</v>
      </c>
      <c r="G396">
        <v>44</v>
      </c>
      <c r="H396" t="s">
        <v>14</v>
      </c>
      <c r="I396">
        <v>866.72</v>
      </c>
      <c r="J396" s="1" t="str">
        <f t="shared" si="18"/>
        <v>valid</v>
      </c>
      <c r="K396" t="e">
        <f t="shared" ca="1" si="19"/>
        <v>#NAME?</v>
      </c>
      <c r="L396" t="str">
        <f>IF(E396&gt;=80,"High Value","Normal")</f>
        <v>Normal</v>
      </c>
      <c r="M396" s="2" t="str">
        <f t="shared" si="20"/>
        <v>YES</v>
      </c>
      <c r="N396" t="str">
        <f>VLOOKUP(A396,A395:H1395,8)</f>
        <v>Home &amp; Garden</v>
      </c>
    </row>
    <row r="397" spans="1:14" x14ac:dyDescent="0.35">
      <c r="A397">
        <v>396</v>
      </c>
      <c r="B397">
        <v>54</v>
      </c>
      <c r="C397" t="s">
        <v>13</v>
      </c>
      <c r="D397">
        <v>87418</v>
      </c>
      <c r="E397">
        <v>21</v>
      </c>
      <c r="F397">
        <v>2</v>
      </c>
      <c r="G397">
        <v>27</v>
      </c>
      <c r="H397" t="s">
        <v>10</v>
      </c>
      <c r="I397">
        <v>846.76</v>
      </c>
      <c r="J397" s="1" t="str">
        <f t="shared" si="18"/>
        <v>valid</v>
      </c>
      <c r="K397" t="e">
        <f t="shared" ca="1" si="19"/>
        <v>#NAME?</v>
      </c>
      <c r="L397" t="str">
        <f>IF(E397&gt;=80,"High Value","Normal")</f>
        <v>Normal</v>
      </c>
      <c r="M397" s="2" t="str">
        <f t="shared" si="20"/>
        <v>YES</v>
      </c>
      <c r="N397" t="str">
        <f>VLOOKUP(A397,A396:H1396,8)</f>
        <v>Groceries</v>
      </c>
    </row>
    <row r="398" spans="1:14" x14ac:dyDescent="0.35">
      <c r="A398">
        <v>397</v>
      </c>
      <c r="B398">
        <v>23</v>
      </c>
      <c r="C398" t="s">
        <v>13</v>
      </c>
      <c r="D398">
        <v>37713</v>
      </c>
      <c r="E398">
        <v>11</v>
      </c>
      <c r="F398">
        <v>8</v>
      </c>
      <c r="G398">
        <v>31</v>
      </c>
      <c r="H398" t="s">
        <v>15</v>
      </c>
      <c r="I398">
        <v>481.24</v>
      </c>
      <c r="J398" s="1" t="str">
        <f t="shared" si="18"/>
        <v>valid</v>
      </c>
      <c r="K398" t="e">
        <f t="shared" ca="1" si="19"/>
        <v>#NAME?</v>
      </c>
      <c r="L398" t="str">
        <f>IF(E398&gt;=80,"High Value","Normal")</f>
        <v>Normal</v>
      </c>
      <c r="M398" s="2" t="b">
        <f t="shared" si="20"/>
        <v>0</v>
      </c>
      <c r="N398" t="str">
        <f>VLOOKUP(A398,A397:H1397,8)</f>
        <v>Electronics</v>
      </c>
    </row>
    <row r="399" spans="1:14" x14ac:dyDescent="0.35">
      <c r="A399">
        <v>398</v>
      </c>
      <c r="B399">
        <v>48</v>
      </c>
      <c r="C399" t="s">
        <v>16</v>
      </c>
      <c r="D399">
        <v>36282</v>
      </c>
      <c r="E399">
        <v>14</v>
      </c>
      <c r="F399">
        <v>10</v>
      </c>
      <c r="G399">
        <v>3</v>
      </c>
      <c r="H399" t="s">
        <v>11</v>
      </c>
      <c r="I399">
        <v>210.43</v>
      </c>
      <c r="J399" s="1" t="str">
        <f t="shared" si="18"/>
        <v>valid</v>
      </c>
      <c r="K399" t="e">
        <f t="shared" ca="1" si="19"/>
        <v>#NAME?</v>
      </c>
      <c r="L399" t="str">
        <f>IF(E399&gt;=80,"High Value","Normal")</f>
        <v>Normal</v>
      </c>
      <c r="M399" s="2" t="b">
        <f t="shared" si="20"/>
        <v>0</v>
      </c>
      <c r="N399" t="str">
        <f>VLOOKUP(A399,A398:H1398,8)</f>
        <v>Sports</v>
      </c>
    </row>
    <row r="400" spans="1:14" x14ac:dyDescent="0.35">
      <c r="A400">
        <v>399</v>
      </c>
      <c r="B400">
        <v>19</v>
      </c>
      <c r="C400" t="s">
        <v>9</v>
      </c>
      <c r="D400">
        <v>69790</v>
      </c>
      <c r="E400">
        <v>3</v>
      </c>
      <c r="F400">
        <v>9</v>
      </c>
      <c r="G400">
        <v>38</v>
      </c>
      <c r="H400" t="s">
        <v>10</v>
      </c>
      <c r="I400">
        <v>596.63</v>
      </c>
      <c r="J400" s="1" t="str">
        <f t="shared" si="18"/>
        <v>valid</v>
      </c>
      <c r="K400" t="e">
        <f t="shared" ca="1" si="19"/>
        <v>#NAME?</v>
      </c>
      <c r="L400" t="str">
        <f>IF(E400&gt;=80,"High Value","Normal")</f>
        <v>Normal</v>
      </c>
      <c r="M400" s="2" t="b">
        <f t="shared" si="20"/>
        <v>0</v>
      </c>
      <c r="N400" t="str">
        <f>VLOOKUP(A400,A399:H1399,8)</f>
        <v>Groceries</v>
      </c>
    </row>
    <row r="401" spans="1:14" x14ac:dyDescent="0.35">
      <c r="A401">
        <v>400</v>
      </c>
      <c r="B401">
        <v>41</v>
      </c>
      <c r="C401" t="s">
        <v>9</v>
      </c>
      <c r="D401">
        <v>147962</v>
      </c>
      <c r="E401">
        <v>90</v>
      </c>
      <c r="F401">
        <v>2</v>
      </c>
      <c r="G401">
        <v>9</v>
      </c>
      <c r="H401" t="s">
        <v>12</v>
      </c>
      <c r="I401">
        <v>688.61</v>
      </c>
      <c r="J401" s="1" t="str">
        <f t="shared" si="18"/>
        <v>valid</v>
      </c>
      <c r="K401" t="e">
        <f t="shared" ca="1" si="19"/>
        <v>#NAME?</v>
      </c>
      <c r="L401" t="str">
        <f>IF(E401&gt;=80,"High Value","Normal")</f>
        <v>High Value</v>
      </c>
      <c r="M401" s="2" t="b">
        <f t="shared" si="20"/>
        <v>0</v>
      </c>
      <c r="N401" t="str">
        <f>VLOOKUP(A401,A400:H1400,8)</f>
        <v>Clothing</v>
      </c>
    </row>
    <row r="402" spans="1:14" x14ac:dyDescent="0.35">
      <c r="A402">
        <v>401</v>
      </c>
      <c r="B402">
        <v>32</v>
      </c>
      <c r="C402" t="s">
        <v>13</v>
      </c>
      <c r="D402">
        <v>86268</v>
      </c>
      <c r="E402">
        <v>96</v>
      </c>
      <c r="F402">
        <v>3</v>
      </c>
      <c r="G402">
        <v>21</v>
      </c>
      <c r="H402" t="s">
        <v>15</v>
      </c>
      <c r="I402">
        <v>643.36</v>
      </c>
      <c r="J402" s="1" t="str">
        <f t="shared" si="18"/>
        <v>valid</v>
      </c>
      <c r="K402" t="e">
        <f t="shared" ca="1" si="19"/>
        <v>#NAME?</v>
      </c>
      <c r="L402" t="str">
        <f>IF(E402&gt;=80,"High Value","Normal")</f>
        <v>High Value</v>
      </c>
      <c r="M402" s="2" t="str">
        <f t="shared" si="20"/>
        <v>YES</v>
      </c>
      <c r="N402" t="str">
        <f>VLOOKUP(A402,A401:H1401,8)</f>
        <v>Electronics</v>
      </c>
    </row>
    <row r="403" spans="1:14" x14ac:dyDescent="0.35">
      <c r="A403">
        <v>402</v>
      </c>
      <c r="B403">
        <v>63</v>
      </c>
      <c r="C403" t="s">
        <v>16</v>
      </c>
      <c r="D403">
        <v>149062</v>
      </c>
      <c r="E403">
        <v>66</v>
      </c>
      <c r="F403">
        <v>9</v>
      </c>
      <c r="G403">
        <v>7</v>
      </c>
      <c r="H403" t="s">
        <v>12</v>
      </c>
      <c r="I403">
        <v>441.11</v>
      </c>
      <c r="J403" s="1" t="str">
        <f t="shared" si="18"/>
        <v>valid</v>
      </c>
      <c r="K403" t="e">
        <f t="shared" ca="1" si="19"/>
        <v>#NAME?</v>
      </c>
      <c r="L403" t="str">
        <f>IF(E403&gt;=80,"High Value","Normal")</f>
        <v>Normal</v>
      </c>
      <c r="M403" s="2" t="b">
        <f t="shared" si="20"/>
        <v>0</v>
      </c>
      <c r="N403" t="str">
        <f>VLOOKUP(A403,A402:H1402,8)</f>
        <v>Clothing</v>
      </c>
    </row>
    <row r="404" spans="1:14" x14ac:dyDescent="0.35">
      <c r="A404">
        <v>403</v>
      </c>
      <c r="B404">
        <v>40</v>
      </c>
      <c r="C404" t="s">
        <v>13</v>
      </c>
      <c r="D404">
        <v>127948</v>
      </c>
      <c r="E404">
        <v>29</v>
      </c>
      <c r="F404">
        <v>6</v>
      </c>
      <c r="G404">
        <v>26</v>
      </c>
      <c r="H404" t="s">
        <v>10</v>
      </c>
      <c r="I404">
        <v>144.78</v>
      </c>
      <c r="J404" s="1" t="str">
        <f t="shared" si="18"/>
        <v>valid</v>
      </c>
      <c r="K404" t="e">
        <f t="shared" ca="1" si="19"/>
        <v>#NAME?</v>
      </c>
      <c r="L404" t="str">
        <f>IF(E404&gt;=80,"High Value","Normal")</f>
        <v>Normal</v>
      </c>
      <c r="M404" s="2" t="str">
        <f t="shared" si="20"/>
        <v>YES</v>
      </c>
      <c r="N404" t="str">
        <f>VLOOKUP(A404,A403:H1403,8)</f>
        <v>Groceries</v>
      </c>
    </row>
    <row r="405" spans="1:14" x14ac:dyDescent="0.35">
      <c r="A405">
        <v>404</v>
      </c>
      <c r="B405">
        <v>36</v>
      </c>
      <c r="C405" t="s">
        <v>16</v>
      </c>
      <c r="D405">
        <v>30121</v>
      </c>
      <c r="E405">
        <v>39</v>
      </c>
      <c r="F405">
        <v>10</v>
      </c>
      <c r="G405">
        <v>16</v>
      </c>
      <c r="H405" t="s">
        <v>10</v>
      </c>
      <c r="I405">
        <v>233.08</v>
      </c>
      <c r="J405" s="1" t="str">
        <f t="shared" si="18"/>
        <v>valid</v>
      </c>
      <c r="K405" t="e">
        <f t="shared" ca="1" si="19"/>
        <v>#NAME?</v>
      </c>
      <c r="L405" t="str">
        <f>IF(E405&gt;=80,"High Value","Normal")</f>
        <v>Normal</v>
      </c>
      <c r="M405" s="2" t="b">
        <f t="shared" si="20"/>
        <v>0</v>
      </c>
      <c r="N405" t="str">
        <f>VLOOKUP(A405,A404:H1404,8)</f>
        <v>Groceries</v>
      </c>
    </row>
    <row r="406" spans="1:14" x14ac:dyDescent="0.35">
      <c r="A406">
        <v>405</v>
      </c>
      <c r="B406">
        <v>21</v>
      </c>
      <c r="C406" t="s">
        <v>16</v>
      </c>
      <c r="D406">
        <v>42889</v>
      </c>
      <c r="E406">
        <v>12</v>
      </c>
      <c r="F406">
        <v>2</v>
      </c>
      <c r="G406">
        <v>20</v>
      </c>
      <c r="H406" t="s">
        <v>14</v>
      </c>
      <c r="I406">
        <v>789.92</v>
      </c>
      <c r="J406" s="1" t="str">
        <f t="shared" si="18"/>
        <v>valid</v>
      </c>
      <c r="K406" t="e">
        <f t="shared" ca="1" si="19"/>
        <v>#NAME?</v>
      </c>
      <c r="L406" t="str">
        <f>IF(E406&gt;=80,"High Value","Normal")</f>
        <v>Normal</v>
      </c>
      <c r="M406" s="2" t="b">
        <f t="shared" si="20"/>
        <v>0</v>
      </c>
      <c r="N406" t="str">
        <f>VLOOKUP(A406,A405:H1405,8)</f>
        <v>Home &amp; Garden</v>
      </c>
    </row>
    <row r="407" spans="1:14" x14ac:dyDescent="0.35">
      <c r="A407">
        <v>406</v>
      </c>
      <c r="B407">
        <v>29</v>
      </c>
      <c r="C407" t="s">
        <v>13</v>
      </c>
      <c r="D407">
        <v>141369</v>
      </c>
      <c r="E407">
        <v>42</v>
      </c>
      <c r="F407">
        <v>10</v>
      </c>
      <c r="G407">
        <v>16</v>
      </c>
      <c r="H407" t="s">
        <v>14</v>
      </c>
      <c r="I407">
        <v>862.54</v>
      </c>
      <c r="J407" s="1" t="str">
        <f t="shared" si="18"/>
        <v>valid</v>
      </c>
      <c r="K407" t="e">
        <f t="shared" ca="1" si="19"/>
        <v>#NAME?</v>
      </c>
      <c r="L407" t="str">
        <f>IF(E407&gt;=80,"High Value","Normal")</f>
        <v>Normal</v>
      </c>
      <c r="M407" s="2" t="b">
        <f t="shared" si="20"/>
        <v>0</v>
      </c>
      <c r="N407" t="str">
        <f>VLOOKUP(A407,A406:H1406,8)</f>
        <v>Home &amp; Garden</v>
      </c>
    </row>
    <row r="408" spans="1:14" x14ac:dyDescent="0.35">
      <c r="A408">
        <v>407</v>
      </c>
      <c r="B408">
        <v>24</v>
      </c>
      <c r="C408" t="s">
        <v>13</v>
      </c>
      <c r="D408">
        <v>119844</v>
      </c>
      <c r="E408">
        <v>78</v>
      </c>
      <c r="F408">
        <v>4</v>
      </c>
      <c r="G408">
        <v>6</v>
      </c>
      <c r="H408" t="s">
        <v>10</v>
      </c>
      <c r="I408">
        <v>572.30999999999995</v>
      </c>
      <c r="J408" s="1" t="str">
        <f t="shared" si="18"/>
        <v>valid</v>
      </c>
      <c r="K408" t="e">
        <f t="shared" ca="1" si="19"/>
        <v>#NAME?</v>
      </c>
      <c r="L408" t="str">
        <f>IF(E408&gt;=80,"High Value","Normal")</f>
        <v>Normal</v>
      </c>
      <c r="M408" s="2" t="b">
        <f t="shared" si="20"/>
        <v>0</v>
      </c>
      <c r="N408" t="str">
        <f>VLOOKUP(A408,A407:H1407,8)</f>
        <v>Groceries</v>
      </c>
    </row>
    <row r="409" spans="1:14" x14ac:dyDescent="0.35">
      <c r="A409">
        <v>408</v>
      </c>
      <c r="B409">
        <v>40</v>
      </c>
      <c r="C409" t="s">
        <v>13</v>
      </c>
      <c r="D409">
        <v>135305</v>
      </c>
      <c r="E409">
        <v>54</v>
      </c>
      <c r="F409">
        <v>8</v>
      </c>
      <c r="G409">
        <v>29</v>
      </c>
      <c r="H409" t="s">
        <v>12</v>
      </c>
      <c r="I409">
        <v>831.6</v>
      </c>
      <c r="J409" s="1" t="str">
        <f t="shared" si="18"/>
        <v>valid</v>
      </c>
      <c r="K409" t="e">
        <f t="shared" ca="1" si="19"/>
        <v>#NAME?</v>
      </c>
      <c r="L409" t="str">
        <f>IF(E409&gt;=80,"High Value","Normal")</f>
        <v>Normal</v>
      </c>
      <c r="M409" s="2" t="str">
        <f t="shared" si="20"/>
        <v>YES</v>
      </c>
      <c r="N409" t="str">
        <f>VLOOKUP(A409,A408:H1408,8)</f>
        <v>Clothing</v>
      </c>
    </row>
    <row r="410" spans="1:14" x14ac:dyDescent="0.35">
      <c r="A410">
        <v>409</v>
      </c>
      <c r="B410">
        <v>63</v>
      </c>
      <c r="C410" t="s">
        <v>9</v>
      </c>
      <c r="D410">
        <v>70967</v>
      </c>
      <c r="E410">
        <v>59</v>
      </c>
      <c r="F410">
        <v>6</v>
      </c>
      <c r="G410">
        <v>10</v>
      </c>
      <c r="H410" t="s">
        <v>14</v>
      </c>
      <c r="I410">
        <v>954.05</v>
      </c>
      <c r="J410" s="1" t="str">
        <f t="shared" si="18"/>
        <v>valid</v>
      </c>
      <c r="K410" t="e">
        <f t="shared" ca="1" si="19"/>
        <v>#NAME?</v>
      </c>
      <c r="L410" t="str">
        <f>IF(E410&gt;=80,"High Value","Normal")</f>
        <v>Normal</v>
      </c>
      <c r="M410" s="2" t="b">
        <f t="shared" si="20"/>
        <v>0</v>
      </c>
      <c r="N410" t="str">
        <f>VLOOKUP(A410,A409:H1409,8)</f>
        <v>Home &amp; Garden</v>
      </c>
    </row>
    <row r="411" spans="1:14" x14ac:dyDescent="0.35">
      <c r="A411">
        <v>410</v>
      </c>
      <c r="B411">
        <v>20</v>
      </c>
      <c r="C411" t="s">
        <v>9</v>
      </c>
      <c r="D411">
        <v>98213</v>
      </c>
      <c r="E411">
        <v>12</v>
      </c>
      <c r="F411">
        <v>5</v>
      </c>
      <c r="G411">
        <v>37</v>
      </c>
      <c r="H411" t="s">
        <v>14</v>
      </c>
      <c r="I411">
        <v>902.24</v>
      </c>
      <c r="J411" s="1" t="str">
        <f t="shared" si="18"/>
        <v>valid</v>
      </c>
      <c r="K411" t="e">
        <f t="shared" ca="1" si="19"/>
        <v>#NAME?</v>
      </c>
      <c r="L411" t="str">
        <f>IF(E411&gt;=80,"High Value","Normal")</f>
        <v>Normal</v>
      </c>
      <c r="M411" s="2" t="b">
        <f t="shared" si="20"/>
        <v>0</v>
      </c>
      <c r="N411" t="str">
        <f>VLOOKUP(A411,A410:H1410,8)</f>
        <v>Home &amp; Garden</v>
      </c>
    </row>
    <row r="412" spans="1:14" x14ac:dyDescent="0.35">
      <c r="A412">
        <v>411</v>
      </c>
      <c r="B412">
        <v>43</v>
      </c>
      <c r="C412" t="s">
        <v>9</v>
      </c>
      <c r="D412">
        <v>89856</v>
      </c>
      <c r="E412">
        <v>96</v>
      </c>
      <c r="F412">
        <v>3</v>
      </c>
      <c r="G412">
        <v>2</v>
      </c>
      <c r="H412" t="s">
        <v>12</v>
      </c>
      <c r="I412">
        <v>114.47</v>
      </c>
      <c r="J412" s="1" t="str">
        <f t="shared" si="18"/>
        <v>valid</v>
      </c>
      <c r="K412" t="e">
        <f t="shared" ca="1" si="19"/>
        <v>#NAME?</v>
      </c>
      <c r="L412" t="str">
        <f>IF(E412&gt;=80,"High Value","Normal")</f>
        <v>High Value</v>
      </c>
      <c r="M412" s="2" t="b">
        <f t="shared" si="20"/>
        <v>0</v>
      </c>
      <c r="N412" t="str">
        <f>VLOOKUP(A412,A411:H1411,8)</f>
        <v>Clothing</v>
      </c>
    </row>
    <row r="413" spans="1:14" x14ac:dyDescent="0.35">
      <c r="A413">
        <v>412</v>
      </c>
      <c r="B413">
        <v>61</v>
      </c>
      <c r="C413" t="s">
        <v>13</v>
      </c>
      <c r="D413">
        <v>80988</v>
      </c>
      <c r="E413">
        <v>34</v>
      </c>
      <c r="F413">
        <v>8</v>
      </c>
      <c r="G413">
        <v>14</v>
      </c>
      <c r="H413" t="s">
        <v>12</v>
      </c>
      <c r="I413">
        <v>937.86</v>
      </c>
      <c r="J413" s="1" t="str">
        <f t="shared" si="18"/>
        <v>valid</v>
      </c>
      <c r="K413" t="e">
        <f t="shared" ca="1" si="19"/>
        <v>#NAME?</v>
      </c>
      <c r="L413" t="str">
        <f>IF(E413&gt;=80,"High Value","Normal")</f>
        <v>Normal</v>
      </c>
      <c r="M413" s="2" t="b">
        <f t="shared" si="20"/>
        <v>0</v>
      </c>
      <c r="N413" t="str">
        <f>VLOOKUP(A413,A412:H1412,8)</f>
        <v>Clothing</v>
      </c>
    </row>
    <row r="414" spans="1:14" x14ac:dyDescent="0.35">
      <c r="A414">
        <v>413</v>
      </c>
      <c r="B414">
        <v>19</v>
      </c>
      <c r="C414" t="s">
        <v>9</v>
      </c>
      <c r="D414">
        <v>105731</v>
      </c>
      <c r="E414">
        <v>9</v>
      </c>
      <c r="F414">
        <v>7</v>
      </c>
      <c r="G414">
        <v>10</v>
      </c>
      <c r="H414" t="s">
        <v>14</v>
      </c>
      <c r="I414">
        <v>421.08</v>
      </c>
      <c r="J414" s="1" t="str">
        <f t="shared" si="18"/>
        <v>valid</v>
      </c>
      <c r="K414" t="e">
        <f t="shared" ca="1" si="19"/>
        <v>#NAME?</v>
      </c>
      <c r="L414" t="str">
        <f>IF(E414&gt;=80,"High Value","Normal")</f>
        <v>Normal</v>
      </c>
      <c r="M414" s="2" t="b">
        <f t="shared" si="20"/>
        <v>0</v>
      </c>
      <c r="N414" t="str">
        <f>VLOOKUP(A414,A413:H1413,8)</f>
        <v>Home &amp; Garden</v>
      </c>
    </row>
    <row r="415" spans="1:14" x14ac:dyDescent="0.35">
      <c r="A415">
        <v>414</v>
      </c>
      <c r="B415">
        <v>69</v>
      </c>
      <c r="C415" t="s">
        <v>9</v>
      </c>
      <c r="D415">
        <v>117737</v>
      </c>
      <c r="E415">
        <v>6</v>
      </c>
      <c r="F415">
        <v>4</v>
      </c>
      <c r="G415">
        <v>9</v>
      </c>
      <c r="H415" t="s">
        <v>10</v>
      </c>
      <c r="I415">
        <v>877.51</v>
      </c>
      <c r="J415" s="1" t="str">
        <f t="shared" si="18"/>
        <v>valid</v>
      </c>
      <c r="K415" t="e">
        <f t="shared" ca="1" si="19"/>
        <v>#NAME?</v>
      </c>
      <c r="L415" t="str">
        <f>IF(E415&gt;=80,"High Value","Normal")</f>
        <v>Normal</v>
      </c>
      <c r="M415" s="2" t="b">
        <f t="shared" si="20"/>
        <v>0</v>
      </c>
      <c r="N415" t="str">
        <f>VLOOKUP(A415,A414:H1414,8)</f>
        <v>Groceries</v>
      </c>
    </row>
    <row r="416" spans="1:14" x14ac:dyDescent="0.35">
      <c r="A416">
        <v>415</v>
      </c>
      <c r="B416">
        <v>57</v>
      </c>
      <c r="C416" t="s">
        <v>16</v>
      </c>
      <c r="D416">
        <v>52164</v>
      </c>
      <c r="E416">
        <v>53</v>
      </c>
      <c r="F416">
        <v>3</v>
      </c>
      <c r="G416">
        <v>36</v>
      </c>
      <c r="H416" t="s">
        <v>10</v>
      </c>
      <c r="I416">
        <v>710.84</v>
      </c>
      <c r="J416" s="1" t="str">
        <f t="shared" si="18"/>
        <v>valid</v>
      </c>
      <c r="K416" t="e">
        <f t="shared" ca="1" si="19"/>
        <v>#NAME?</v>
      </c>
      <c r="L416" t="str">
        <f>IF(E416&gt;=80,"High Value","Normal")</f>
        <v>Normal</v>
      </c>
      <c r="M416" s="2" t="str">
        <f t="shared" si="20"/>
        <v>YES</v>
      </c>
      <c r="N416" t="str">
        <f>VLOOKUP(A416,A415:H1415,8)</f>
        <v>Groceries</v>
      </c>
    </row>
    <row r="417" spans="1:14" x14ac:dyDescent="0.35">
      <c r="A417">
        <v>416</v>
      </c>
      <c r="B417">
        <v>38</v>
      </c>
      <c r="C417" t="s">
        <v>13</v>
      </c>
      <c r="D417">
        <v>51327</v>
      </c>
      <c r="E417">
        <v>62</v>
      </c>
      <c r="F417">
        <v>5</v>
      </c>
      <c r="G417">
        <v>24</v>
      </c>
      <c r="H417" t="s">
        <v>11</v>
      </c>
      <c r="I417">
        <v>645.42999999999995</v>
      </c>
      <c r="J417" s="1" t="str">
        <f t="shared" si="18"/>
        <v>valid</v>
      </c>
      <c r="K417" t="e">
        <f t="shared" ca="1" si="19"/>
        <v>#NAME?</v>
      </c>
      <c r="L417" t="str">
        <f>IF(E417&gt;=80,"High Value","Normal")</f>
        <v>Normal</v>
      </c>
      <c r="M417" s="2" t="str">
        <f t="shared" si="20"/>
        <v>YES</v>
      </c>
      <c r="N417" t="str">
        <f>VLOOKUP(A417,A416:H1416,8)</f>
        <v>Sports</v>
      </c>
    </row>
    <row r="418" spans="1:14" x14ac:dyDescent="0.35">
      <c r="A418">
        <v>417</v>
      </c>
      <c r="B418">
        <v>52</v>
      </c>
      <c r="C418" t="s">
        <v>13</v>
      </c>
      <c r="D418">
        <v>101105</v>
      </c>
      <c r="E418">
        <v>11</v>
      </c>
      <c r="F418">
        <v>9</v>
      </c>
      <c r="G418">
        <v>2</v>
      </c>
      <c r="H418" t="s">
        <v>14</v>
      </c>
      <c r="I418">
        <v>714.72</v>
      </c>
      <c r="J418" s="1" t="str">
        <f t="shared" si="18"/>
        <v>valid</v>
      </c>
      <c r="K418" t="e">
        <f t="shared" ca="1" si="19"/>
        <v>#NAME?</v>
      </c>
      <c r="L418" t="str">
        <f>IF(E418&gt;=80,"High Value","Normal")</f>
        <v>Normal</v>
      </c>
      <c r="M418" s="2" t="b">
        <f t="shared" si="20"/>
        <v>0</v>
      </c>
      <c r="N418" t="str">
        <f>VLOOKUP(A418,A417:H1417,8)</f>
        <v>Home &amp; Garden</v>
      </c>
    </row>
    <row r="419" spans="1:14" x14ac:dyDescent="0.35">
      <c r="A419">
        <v>418</v>
      </c>
      <c r="B419">
        <v>51</v>
      </c>
      <c r="C419" t="s">
        <v>9</v>
      </c>
      <c r="D419">
        <v>97565</v>
      </c>
      <c r="E419">
        <v>48</v>
      </c>
      <c r="F419">
        <v>10</v>
      </c>
      <c r="G419">
        <v>31</v>
      </c>
      <c r="H419" t="s">
        <v>12</v>
      </c>
      <c r="I419">
        <v>656.9</v>
      </c>
      <c r="J419" s="1" t="str">
        <f t="shared" si="18"/>
        <v>valid</v>
      </c>
      <c r="K419" t="e">
        <f t="shared" ca="1" si="19"/>
        <v>#NAME?</v>
      </c>
      <c r="L419" t="str">
        <f>IF(E419&gt;=80,"High Value","Normal")</f>
        <v>Normal</v>
      </c>
      <c r="M419" s="2" t="str">
        <f t="shared" si="20"/>
        <v>YES</v>
      </c>
      <c r="N419" t="str">
        <f>VLOOKUP(A419,A418:H1418,8)</f>
        <v>Clothing</v>
      </c>
    </row>
    <row r="420" spans="1:14" x14ac:dyDescent="0.35">
      <c r="A420">
        <v>419</v>
      </c>
      <c r="B420">
        <v>64</v>
      </c>
      <c r="C420" t="s">
        <v>13</v>
      </c>
      <c r="D420">
        <v>71594</v>
      </c>
      <c r="E420">
        <v>40</v>
      </c>
      <c r="F420">
        <v>4</v>
      </c>
      <c r="G420">
        <v>42</v>
      </c>
      <c r="H420" t="s">
        <v>12</v>
      </c>
      <c r="I420">
        <v>487.73</v>
      </c>
      <c r="J420" s="1" t="str">
        <f t="shared" si="18"/>
        <v>valid</v>
      </c>
      <c r="K420" t="e">
        <f t="shared" ca="1" si="19"/>
        <v>#NAME?</v>
      </c>
      <c r="L420" t="str">
        <f>IF(E420&gt;=80,"High Value","Normal")</f>
        <v>Normal</v>
      </c>
      <c r="M420" s="2" t="str">
        <f t="shared" si="20"/>
        <v>YES</v>
      </c>
      <c r="N420" t="str">
        <f>VLOOKUP(A420,A419:H1419,8)</f>
        <v>Clothing</v>
      </c>
    </row>
    <row r="421" spans="1:14" x14ac:dyDescent="0.35">
      <c r="A421">
        <v>420</v>
      </c>
      <c r="B421">
        <v>46</v>
      </c>
      <c r="C421" t="s">
        <v>16</v>
      </c>
      <c r="D421">
        <v>60671</v>
      </c>
      <c r="E421">
        <v>57</v>
      </c>
      <c r="F421">
        <v>5</v>
      </c>
      <c r="G421">
        <v>48</v>
      </c>
      <c r="H421" t="s">
        <v>14</v>
      </c>
      <c r="I421">
        <v>817.69</v>
      </c>
      <c r="J421" s="1" t="str">
        <f t="shared" si="18"/>
        <v>valid</v>
      </c>
      <c r="K421" t="e">
        <f t="shared" ca="1" si="19"/>
        <v>#NAME?</v>
      </c>
      <c r="L421" t="str">
        <f>IF(E421&gt;=80,"High Value","Normal")</f>
        <v>Normal</v>
      </c>
      <c r="M421" s="2" t="str">
        <f t="shared" si="20"/>
        <v>YES</v>
      </c>
      <c r="N421" t="str">
        <f>VLOOKUP(A421,A420:H1420,8)</f>
        <v>Home &amp; Garden</v>
      </c>
    </row>
    <row r="422" spans="1:14" x14ac:dyDescent="0.35">
      <c r="A422">
        <v>421</v>
      </c>
      <c r="B422">
        <v>46</v>
      </c>
      <c r="C422" t="s">
        <v>9</v>
      </c>
      <c r="D422">
        <v>90871</v>
      </c>
      <c r="E422">
        <v>56</v>
      </c>
      <c r="F422">
        <v>4</v>
      </c>
      <c r="G422">
        <v>39</v>
      </c>
      <c r="H422" t="s">
        <v>12</v>
      </c>
      <c r="I422">
        <v>592.97</v>
      </c>
      <c r="J422" s="1" t="str">
        <f t="shared" si="18"/>
        <v>valid</v>
      </c>
      <c r="K422" t="e">
        <f t="shared" ca="1" si="19"/>
        <v>#NAME?</v>
      </c>
      <c r="L422" t="str">
        <f>IF(E422&gt;=80,"High Value","Normal")</f>
        <v>Normal</v>
      </c>
      <c r="M422" s="2" t="str">
        <f t="shared" si="20"/>
        <v>YES</v>
      </c>
      <c r="N422" t="str">
        <f>VLOOKUP(A422,A421:H1421,8)</f>
        <v>Clothing</v>
      </c>
    </row>
    <row r="423" spans="1:14" x14ac:dyDescent="0.35">
      <c r="A423">
        <v>422</v>
      </c>
      <c r="B423">
        <v>56</v>
      </c>
      <c r="C423" t="s">
        <v>13</v>
      </c>
      <c r="D423">
        <v>36843</v>
      </c>
      <c r="E423">
        <v>46</v>
      </c>
      <c r="F423">
        <v>7</v>
      </c>
      <c r="G423">
        <v>12</v>
      </c>
      <c r="H423" t="s">
        <v>14</v>
      </c>
      <c r="I423">
        <v>22.15</v>
      </c>
      <c r="J423" s="1" t="str">
        <f t="shared" si="18"/>
        <v>valid</v>
      </c>
      <c r="K423" t="e">
        <f t="shared" ca="1" si="19"/>
        <v>#NAME?</v>
      </c>
      <c r="L423" t="str">
        <f>IF(E423&gt;=80,"High Value","Normal")</f>
        <v>Normal</v>
      </c>
      <c r="M423" s="2" t="b">
        <f t="shared" si="20"/>
        <v>0</v>
      </c>
      <c r="N423" t="str">
        <f>VLOOKUP(A423,A422:H1422,8)</f>
        <v>Home &amp; Garden</v>
      </c>
    </row>
    <row r="424" spans="1:14" x14ac:dyDescent="0.35">
      <c r="A424">
        <v>423</v>
      </c>
      <c r="B424">
        <v>62</v>
      </c>
      <c r="C424" t="s">
        <v>9</v>
      </c>
      <c r="D424">
        <v>96260</v>
      </c>
      <c r="E424">
        <v>30</v>
      </c>
      <c r="F424">
        <v>6</v>
      </c>
      <c r="G424">
        <v>45</v>
      </c>
      <c r="H424" t="s">
        <v>15</v>
      </c>
      <c r="I424">
        <v>159.13</v>
      </c>
      <c r="J424" s="1" t="str">
        <f t="shared" si="18"/>
        <v>valid</v>
      </c>
      <c r="K424" t="e">
        <f t="shared" ca="1" si="19"/>
        <v>#NAME?</v>
      </c>
      <c r="L424" t="str">
        <f>IF(E424&gt;=80,"High Value","Normal")</f>
        <v>Normal</v>
      </c>
      <c r="M424" s="2" t="str">
        <f t="shared" si="20"/>
        <v>YES</v>
      </c>
      <c r="N424" t="str">
        <f>VLOOKUP(A424,A423:H1423,8)</f>
        <v>Electronics</v>
      </c>
    </row>
    <row r="425" spans="1:14" x14ac:dyDescent="0.35">
      <c r="A425">
        <v>424</v>
      </c>
      <c r="B425">
        <v>56</v>
      </c>
      <c r="C425" t="s">
        <v>16</v>
      </c>
      <c r="D425">
        <v>134502</v>
      </c>
      <c r="E425">
        <v>46</v>
      </c>
      <c r="F425">
        <v>5</v>
      </c>
      <c r="G425">
        <v>5</v>
      </c>
      <c r="H425" t="s">
        <v>10</v>
      </c>
      <c r="I425">
        <v>394.49</v>
      </c>
      <c r="J425" s="1" t="str">
        <f t="shared" si="18"/>
        <v>valid</v>
      </c>
      <c r="K425" t="e">
        <f t="shared" ca="1" si="19"/>
        <v>#NAME?</v>
      </c>
      <c r="L425" t="str">
        <f>IF(E425&gt;=80,"High Value","Normal")</f>
        <v>Normal</v>
      </c>
      <c r="M425" s="2" t="b">
        <f t="shared" si="20"/>
        <v>0</v>
      </c>
      <c r="N425" t="str">
        <f>VLOOKUP(A425,A424:H1424,8)</f>
        <v>Groceries</v>
      </c>
    </row>
    <row r="426" spans="1:14" x14ac:dyDescent="0.35">
      <c r="A426">
        <v>425</v>
      </c>
      <c r="B426">
        <v>41</v>
      </c>
      <c r="C426" t="s">
        <v>16</v>
      </c>
      <c r="D426">
        <v>67039</v>
      </c>
      <c r="E426">
        <v>100</v>
      </c>
      <c r="F426">
        <v>1</v>
      </c>
      <c r="G426">
        <v>36</v>
      </c>
      <c r="H426" t="s">
        <v>15</v>
      </c>
      <c r="I426">
        <v>178.68</v>
      </c>
      <c r="J426" s="1" t="str">
        <f t="shared" si="18"/>
        <v>valid</v>
      </c>
      <c r="K426" t="e">
        <f t="shared" ca="1" si="19"/>
        <v>#NAME?</v>
      </c>
      <c r="L426" t="str">
        <f>IF(E426&gt;=80,"High Value","Normal")</f>
        <v>High Value</v>
      </c>
      <c r="M426" s="2" t="str">
        <f t="shared" si="20"/>
        <v>YES</v>
      </c>
      <c r="N426" t="str">
        <f>VLOOKUP(A426,A425:H1425,8)</f>
        <v>Electronics</v>
      </c>
    </row>
    <row r="427" spans="1:14" x14ac:dyDescent="0.35">
      <c r="A427">
        <v>426</v>
      </c>
      <c r="B427">
        <v>40</v>
      </c>
      <c r="C427" t="s">
        <v>13</v>
      </c>
      <c r="D427">
        <v>142251</v>
      </c>
      <c r="E427">
        <v>90</v>
      </c>
      <c r="F427">
        <v>10</v>
      </c>
      <c r="G427">
        <v>14</v>
      </c>
      <c r="H427" t="s">
        <v>15</v>
      </c>
      <c r="I427">
        <v>866.52</v>
      </c>
      <c r="J427" s="1" t="str">
        <f t="shared" si="18"/>
        <v>valid</v>
      </c>
      <c r="K427" t="e">
        <f t="shared" ca="1" si="19"/>
        <v>#NAME?</v>
      </c>
      <c r="L427" t="str">
        <f>IF(E427&gt;=80,"High Value","Normal")</f>
        <v>High Value</v>
      </c>
      <c r="M427" s="2" t="b">
        <f t="shared" si="20"/>
        <v>0</v>
      </c>
      <c r="N427" t="str">
        <f>VLOOKUP(A427,A426:H1426,8)</f>
        <v>Electronics</v>
      </c>
    </row>
    <row r="428" spans="1:14" x14ac:dyDescent="0.35">
      <c r="A428">
        <v>427</v>
      </c>
      <c r="B428">
        <v>47</v>
      </c>
      <c r="C428" t="s">
        <v>9</v>
      </c>
      <c r="D428">
        <v>49336</v>
      </c>
      <c r="E428">
        <v>11</v>
      </c>
      <c r="F428">
        <v>10</v>
      </c>
      <c r="G428">
        <v>11</v>
      </c>
      <c r="H428" t="s">
        <v>11</v>
      </c>
      <c r="I428">
        <v>877.17</v>
      </c>
      <c r="J428" s="1" t="str">
        <f t="shared" si="18"/>
        <v>valid</v>
      </c>
      <c r="K428" t="e">
        <f t="shared" ca="1" si="19"/>
        <v>#NAME?</v>
      </c>
      <c r="L428" t="str">
        <f>IF(E428&gt;=80,"High Value","Normal")</f>
        <v>Normal</v>
      </c>
      <c r="M428" s="2" t="b">
        <f t="shared" si="20"/>
        <v>0</v>
      </c>
      <c r="N428" t="str">
        <f>VLOOKUP(A428,A427:H1427,8)</f>
        <v>Sports</v>
      </c>
    </row>
    <row r="429" spans="1:14" x14ac:dyDescent="0.35">
      <c r="A429">
        <v>428</v>
      </c>
      <c r="B429">
        <v>54</v>
      </c>
      <c r="C429" t="s">
        <v>13</v>
      </c>
      <c r="D429">
        <v>90780</v>
      </c>
      <c r="E429">
        <v>24</v>
      </c>
      <c r="F429">
        <v>3</v>
      </c>
      <c r="G429">
        <v>46</v>
      </c>
      <c r="H429" t="s">
        <v>10</v>
      </c>
      <c r="I429">
        <v>824.65</v>
      </c>
      <c r="J429" s="1" t="str">
        <f t="shared" si="18"/>
        <v>valid</v>
      </c>
      <c r="K429" t="e">
        <f t="shared" ca="1" si="19"/>
        <v>#NAME?</v>
      </c>
      <c r="L429" t="str">
        <f>IF(E429&gt;=80,"High Value","Normal")</f>
        <v>Normal</v>
      </c>
      <c r="M429" s="2" t="str">
        <f t="shared" si="20"/>
        <v>YES</v>
      </c>
      <c r="N429" t="str">
        <f>VLOOKUP(A429,A428:H1428,8)</f>
        <v>Groceries</v>
      </c>
    </row>
    <row r="430" spans="1:14" x14ac:dyDescent="0.35">
      <c r="A430">
        <v>429</v>
      </c>
      <c r="B430">
        <v>20</v>
      </c>
      <c r="C430" t="s">
        <v>16</v>
      </c>
      <c r="D430">
        <v>49308</v>
      </c>
      <c r="E430">
        <v>29</v>
      </c>
      <c r="F430">
        <v>6</v>
      </c>
      <c r="G430">
        <v>19</v>
      </c>
      <c r="H430" t="s">
        <v>15</v>
      </c>
      <c r="I430">
        <v>351.64</v>
      </c>
      <c r="J430" s="1" t="str">
        <f t="shared" si="18"/>
        <v>valid</v>
      </c>
      <c r="K430" t="e">
        <f t="shared" ca="1" si="19"/>
        <v>#NAME?</v>
      </c>
      <c r="L430" t="str">
        <f>IF(E430&gt;=80,"High Value","Normal")</f>
        <v>Normal</v>
      </c>
      <c r="M430" s="2" t="b">
        <f t="shared" si="20"/>
        <v>0</v>
      </c>
      <c r="N430" t="str">
        <f>VLOOKUP(A430,A429:H1429,8)</f>
        <v>Electronics</v>
      </c>
    </row>
    <row r="431" spans="1:14" x14ac:dyDescent="0.35">
      <c r="A431">
        <v>430</v>
      </c>
      <c r="B431">
        <v>64</v>
      </c>
      <c r="C431" t="s">
        <v>13</v>
      </c>
      <c r="D431">
        <v>124369</v>
      </c>
      <c r="E431">
        <v>74</v>
      </c>
      <c r="F431">
        <v>2</v>
      </c>
      <c r="G431">
        <v>3</v>
      </c>
      <c r="H431" t="s">
        <v>14</v>
      </c>
      <c r="I431">
        <v>275.39999999999998</v>
      </c>
      <c r="J431" s="1" t="str">
        <f t="shared" si="18"/>
        <v>valid</v>
      </c>
      <c r="K431" t="e">
        <f t="shared" ca="1" si="19"/>
        <v>#NAME?</v>
      </c>
      <c r="L431" t="str">
        <f>IF(E431&gt;=80,"High Value","Normal")</f>
        <v>Normal</v>
      </c>
      <c r="M431" s="2" t="b">
        <f t="shared" si="20"/>
        <v>0</v>
      </c>
      <c r="N431" t="str">
        <f>VLOOKUP(A431,A430:H1430,8)</f>
        <v>Home &amp; Garden</v>
      </c>
    </row>
    <row r="432" spans="1:14" x14ac:dyDescent="0.35">
      <c r="A432">
        <v>431</v>
      </c>
      <c r="B432">
        <v>40</v>
      </c>
      <c r="C432" t="s">
        <v>16</v>
      </c>
      <c r="D432">
        <v>99618</v>
      </c>
      <c r="E432">
        <v>80</v>
      </c>
      <c r="F432">
        <v>4</v>
      </c>
      <c r="G432">
        <v>22</v>
      </c>
      <c r="H432" t="s">
        <v>10</v>
      </c>
      <c r="I432">
        <v>15.04</v>
      </c>
      <c r="J432" s="1" t="str">
        <f t="shared" si="18"/>
        <v>valid</v>
      </c>
      <c r="K432" t="e">
        <f t="shared" ca="1" si="19"/>
        <v>#NAME?</v>
      </c>
      <c r="L432" t="str">
        <f>IF(E432&gt;=80,"High Value","Normal")</f>
        <v>High Value</v>
      </c>
      <c r="M432" s="2" t="str">
        <f t="shared" si="20"/>
        <v>YES</v>
      </c>
      <c r="N432" t="str">
        <f>VLOOKUP(A432,A431:H1431,8)</f>
        <v>Groceries</v>
      </c>
    </row>
    <row r="433" spans="1:14" x14ac:dyDescent="0.35">
      <c r="A433">
        <v>432</v>
      </c>
      <c r="B433">
        <v>29</v>
      </c>
      <c r="C433" t="s">
        <v>9</v>
      </c>
      <c r="D433">
        <v>133291</v>
      </c>
      <c r="E433">
        <v>52</v>
      </c>
      <c r="F433">
        <v>4</v>
      </c>
      <c r="G433">
        <v>42</v>
      </c>
      <c r="H433" t="s">
        <v>12</v>
      </c>
      <c r="I433">
        <v>916.28</v>
      </c>
      <c r="J433" s="1" t="str">
        <f t="shared" si="18"/>
        <v>valid</v>
      </c>
      <c r="K433" t="e">
        <f t="shared" ca="1" si="19"/>
        <v>#NAME?</v>
      </c>
      <c r="L433" t="str">
        <f>IF(E433&gt;=80,"High Value","Normal")</f>
        <v>Normal</v>
      </c>
      <c r="M433" s="2" t="b">
        <f t="shared" si="20"/>
        <v>0</v>
      </c>
      <c r="N433" t="str">
        <f>VLOOKUP(A433,A432:H1432,8)</f>
        <v>Clothing</v>
      </c>
    </row>
    <row r="434" spans="1:14" x14ac:dyDescent="0.35">
      <c r="A434">
        <v>433</v>
      </c>
      <c r="B434">
        <v>44</v>
      </c>
      <c r="C434" t="s">
        <v>9</v>
      </c>
      <c r="D434">
        <v>100832</v>
      </c>
      <c r="E434">
        <v>90</v>
      </c>
      <c r="F434">
        <v>8</v>
      </c>
      <c r="G434">
        <v>39</v>
      </c>
      <c r="H434" t="s">
        <v>15</v>
      </c>
      <c r="I434">
        <v>769</v>
      </c>
      <c r="J434" s="1" t="str">
        <f t="shared" si="18"/>
        <v>valid</v>
      </c>
      <c r="K434" t="e">
        <f t="shared" ca="1" si="19"/>
        <v>#NAME?</v>
      </c>
      <c r="L434" t="str">
        <f>IF(E434&gt;=80,"High Value","Normal")</f>
        <v>High Value</v>
      </c>
      <c r="M434" s="2" t="str">
        <f t="shared" si="20"/>
        <v>YES</v>
      </c>
      <c r="N434" t="str">
        <f>VLOOKUP(A434,A433:H1433,8)</f>
        <v>Electronics</v>
      </c>
    </row>
    <row r="435" spans="1:14" x14ac:dyDescent="0.35">
      <c r="A435">
        <v>434</v>
      </c>
      <c r="B435">
        <v>57</v>
      </c>
      <c r="C435" t="s">
        <v>16</v>
      </c>
      <c r="D435">
        <v>60668</v>
      </c>
      <c r="E435">
        <v>66</v>
      </c>
      <c r="F435">
        <v>6</v>
      </c>
      <c r="G435">
        <v>28</v>
      </c>
      <c r="H435" t="s">
        <v>15</v>
      </c>
      <c r="I435">
        <v>984.6</v>
      </c>
      <c r="J435" s="1" t="str">
        <f t="shared" si="18"/>
        <v>valid</v>
      </c>
      <c r="K435" t="e">
        <f t="shared" ca="1" si="19"/>
        <v>#NAME?</v>
      </c>
      <c r="L435" t="str">
        <f>IF(E435&gt;=80,"High Value","Normal")</f>
        <v>Normal</v>
      </c>
      <c r="M435" s="2" t="str">
        <f t="shared" si="20"/>
        <v>YES</v>
      </c>
      <c r="N435" t="str">
        <f>VLOOKUP(A435,A434:H1434,8)</f>
        <v>Electronics</v>
      </c>
    </row>
    <row r="436" spans="1:14" x14ac:dyDescent="0.35">
      <c r="A436">
        <v>435</v>
      </c>
      <c r="B436">
        <v>32</v>
      </c>
      <c r="C436" t="s">
        <v>9</v>
      </c>
      <c r="D436">
        <v>69782</v>
      </c>
      <c r="E436">
        <v>76</v>
      </c>
      <c r="F436">
        <v>1</v>
      </c>
      <c r="G436">
        <v>9</v>
      </c>
      <c r="H436" t="s">
        <v>14</v>
      </c>
      <c r="I436">
        <v>803.28</v>
      </c>
      <c r="J436" s="1" t="str">
        <f t="shared" si="18"/>
        <v>valid</v>
      </c>
      <c r="K436" t="e">
        <f t="shared" ca="1" si="19"/>
        <v>#NAME?</v>
      </c>
      <c r="L436" t="str">
        <f>IF(E436&gt;=80,"High Value","Normal")</f>
        <v>Normal</v>
      </c>
      <c r="M436" s="2" t="b">
        <f t="shared" si="20"/>
        <v>0</v>
      </c>
      <c r="N436" t="str">
        <f>VLOOKUP(A436,A435:H1435,8)</f>
        <v>Home &amp; Garden</v>
      </c>
    </row>
    <row r="437" spans="1:14" x14ac:dyDescent="0.35">
      <c r="A437">
        <v>436</v>
      </c>
      <c r="B437">
        <v>52</v>
      </c>
      <c r="C437" t="s">
        <v>13</v>
      </c>
      <c r="D437">
        <v>136827</v>
      </c>
      <c r="E437">
        <v>87</v>
      </c>
      <c r="F437">
        <v>5</v>
      </c>
      <c r="G437">
        <v>20</v>
      </c>
      <c r="H437" t="s">
        <v>11</v>
      </c>
      <c r="I437">
        <v>322.29000000000002</v>
      </c>
      <c r="J437" s="1" t="str">
        <f t="shared" si="18"/>
        <v>valid</v>
      </c>
      <c r="K437" t="e">
        <f t="shared" ca="1" si="19"/>
        <v>#NAME?</v>
      </c>
      <c r="L437" t="str">
        <f>IF(E437&gt;=80,"High Value","Normal")</f>
        <v>High Value</v>
      </c>
      <c r="M437" s="2" t="b">
        <f t="shared" si="20"/>
        <v>0</v>
      </c>
      <c r="N437" t="str">
        <f>VLOOKUP(A437,A436:H1436,8)</f>
        <v>Sports</v>
      </c>
    </row>
    <row r="438" spans="1:14" x14ac:dyDescent="0.35">
      <c r="A438">
        <v>437</v>
      </c>
      <c r="B438">
        <v>48</v>
      </c>
      <c r="C438" t="s">
        <v>13</v>
      </c>
      <c r="D438">
        <v>51565</v>
      </c>
      <c r="E438">
        <v>44</v>
      </c>
      <c r="F438">
        <v>5</v>
      </c>
      <c r="G438">
        <v>20</v>
      </c>
      <c r="H438" t="s">
        <v>10</v>
      </c>
      <c r="I438">
        <v>552.48</v>
      </c>
      <c r="J438" s="1" t="str">
        <f t="shared" si="18"/>
        <v>valid</v>
      </c>
      <c r="K438" t="e">
        <f t="shared" ca="1" si="19"/>
        <v>#NAME?</v>
      </c>
      <c r="L438" t="str">
        <f>IF(E438&gt;=80,"High Value","Normal")</f>
        <v>Normal</v>
      </c>
      <c r="M438" s="2" t="b">
        <f t="shared" si="20"/>
        <v>0</v>
      </c>
      <c r="N438" t="str">
        <f>VLOOKUP(A438,A437:H1437,8)</f>
        <v>Groceries</v>
      </c>
    </row>
    <row r="439" spans="1:14" x14ac:dyDescent="0.35">
      <c r="A439">
        <v>438</v>
      </c>
      <c r="B439">
        <v>47</v>
      </c>
      <c r="C439" t="s">
        <v>9</v>
      </c>
      <c r="D439">
        <v>95033</v>
      </c>
      <c r="E439">
        <v>25</v>
      </c>
      <c r="F439">
        <v>3</v>
      </c>
      <c r="G439">
        <v>35</v>
      </c>
      <c r="H439" t="s">
        <v>15</v>
      </c>
      <c r="I439">
        <v>273.38</v>
      </c>
      <c r="J439" s="1" t="str">
        <f t="shared" si="18"/>
        <v>valid</v>
      </c>
      <c r="K439" t="e">
        <f t="shared" ca="1" si="19"/>
        <v>#NAME?</v>
      </c>
      <c r="L439" t="str">
        <f>IF(E439&gt;=80,"High Value","Normal")</f>
        <v>Normal</v>
      </c>
      <c r="M439" s="2" t="str">
        <f t="shared" si="20"/>
        <v>YES</v>
      </c>
      <c r="N439" t="str">
        <f>VLOOKUP(A439,A438:H1438,8)</f>
        <v>Electronics</v>
      </c>
    </row>
    <row r="440" spans="1:14" x14ac:dyDescent="0.35">
      <c r="A440">
        <v>439</v>
      </c>
      <c r="B440">
        <v>63</v>
      </c>
      <c r="C440" t="s">
        <v>9</v>
      </c>
      <c r="D440">
        <v>118402</v>
      </c>
      <c r="E440">
        <v>74</v>
      </c>
      <c r="F440">
        <v>3</v>
      </c>
      <c r="G440">
        <v>12</v>
      </c>
      <c r="H440" t="s">
        <v>11</v>
      </c>
      <c r="I440">
        <v>828.04</v>
      </c>
      <c r="J440" s="1" t="str">
        <f t="shared" si="18"/>
        <v>valid</v>
      </c>
      <c r="K440" t="e">
        <f t="shared" ca="1" si="19"/>
        <v>#NAME?</v>
      </c>
      <c r="L440" t="str">
        <f>IF(E440&gt;=80,"High Value","Normal")</f>
        <v>Normal</v>
      </c>
      <c r="M440" s="2" t="b">
        <f t="shared" si="20"/>
        <v>0</v>
      </c>
      <c r="N440" t="str">
        <f>VLOOKUP(A440,A439:H1439,8)</f>
        <v>Sports</v>
      </c>
    </row>
    <row r="441" spans="1:14" x14ac:dyDescent="0.35">
      <c r="A441">
        <v>440</v>
      </c>
      <c r="B441">
        <v>23</v>
      </c>
      <c r="C441" t="s">
        <v>9</v>
      </c>
      <c r="D441">
        <v>130546</v>
      </c>
      <c r="E441">
        <v>71</v>
      </c>
      <c r="F441">
        <v>9</v>
      </c>
      <c r="G441">
        <v>36</v>
      </c>
      <c r="H441" t="s">
        <v>11</v>
      </c>
      <c r="I441">
        <v>799.33</v>
      </c>
      <c r="J441" s="1" t="str">
        <f t="shared" si="18"/>
        <v>valid</v>
      </c>
      <c r="K441" t="e">
        <f t="shared" ca="1" si="19"/>
        <v>#NAME?</v>
      </c>
      <c r="L441" t="str">
        <f>IF(E441&gt;=80,"High Value","Normal")</f>
        <v>Normal</v>
      </c>
      <c r="M441" s="2" t="b">
        <f t="shared" si="20"/>
        <v>0</v>
      </c>
      <c r="N441" t="str">
        <f>VLOOKUP(A441,A440:H1440,8)</f>
        <v>Sports</v>
      </c>
    </row>
    <row r="442" spans="1:14" x14ac:dyDescent="0.35">
      <c r="A442">
        <v>441</v>
      </c>
      <c r="B442">
        <v>46</v>
      </c>
      <c r="C442" t="s">
        <v>16</v>
      </c>
      <c r="D442">
        <v>68970</v>
      </c>
      <c r="E442">
        <v>50</v>
      </c>
      <c r="F442">
        <v>9</v>
      </c>
      <c r="G442">
        <v>46</v>
      </c>
      <c r="H442" t="s">
        <v>12</v>
      </c>
      <c r="I442">
        <v>392.35</v>
      </c>
      <c r="J442" s="1" t="str">
        <f t="shared" si="18"/>
        <v>valid</v>
      </c>
      <c r="K442" t="e">
        <f t="shared" ca="1" si="19"/>
        <v>#NAME?</v>
      </c>
      <c r="L442" t="str">
        <f>IF(E442&gt;=80,"High Value","Normal")</f>
        <v>Normal</v>
      </c>
      <c r="M442" s="2" t="str">
        <f t="shared" si="20"/>
        <v>YES</v>
      </c>
      <c r="N442" t="str">
        <f>VLOOKUP(A442,A441:H1441,8)</f>
        <v>Clothing</v>
      </c>
    </row>
    <row r="443" spans="1:14" x14ac:dyDescent="0.35">
      <c r="A443">
        <v>442</v>
      </c>
      <c r="B443">
        <v>26</v>
      </c>
      <c r="C443" t="s">
        <v>9</v>
      </c>
      <c r="D443">
        <v>84460</v>
      </c>
      <c r="E443">
        <v>45</v>
      </c>
      <c r="F443">
        <v>1</v>
      </c>
      <c r="G443">
        <v>33</v>
      </c>
      <c r="H443" t="s">
        <v>12</v>
      </c>
      <c r="I443">
        <v>219.67</v>
      </c>
      <c r="J443" s="1" t="str">
        <f t="shared" si="18"/>
        <v>valid</v>
      </c>
      <c r="K443" t="e">
        <f t="shared" ca="1" si="19"/>
        <v>#NAME?</v>
      </c>
      <c r="L443" t="str">
        <f>IF(E443&gt;=80,"High Value","Normal")</f>
        <v>Normal</v>
      </c>
      <c r="M443" s="2" t="b">
        <f t="shared" si="20"/>
        <v>0</v>
      </c>
      <c r="N443" t="str">
        <f>VLOOKUP(A443,A442:H1442,8)</f>
        <v>Clothing</v>
      </c>
    </row>
    <row r="444" spans="1:14" x14ac:dyDescent="0.35">
      <c r="A444">
        <v>443</v>
      </c>
      <c r="B444">
        <v>47</v>
      </c>
      <c r="C444" t="s">
        <v>13</v>
      </c>
      <c r="D444">
        <v>138199</v>
      </c>
      <c r="E444">
        <v>79</v>
      </c>
      <c r="F444">
        <v>10</v>
      </c>
      <c r="G444">
        <v>43</v>
      </c>
      <c r="H444" t="s">
        <v>15</v>
      </c>
      <c r="I444">
        <v>171.38</v>
      </c>
      <c r="J444" s="1" t="str">
        <f t="shared" si="18"/>
        <v>valid</v>
      </c>
      <c r="K444" t="e">
        <f t="shared" ca="1" si="19"/>
        <v>#NAME?</v>
      </c>
      <c r="L444" t="str">
        <f>IF(E444&gt;=80,"High Value","Normal")</f>
        <v>Normal</v>
      </c>
      <c r="M444" s="2" t="str">
        <f t="shared" si="20"/>
        <v>YES</v>
      </c>
      <c r="N444" t="str">
        <f>VLOOKUP(A444,A443:H1443,8)</f>
        <v>Electronics</v>
      </c>
    </row>
    <row r="445" spans="1:14" x14ac:dyDescent="0.35">
      <c r="A445">
        <v>444</v>
      </c>
      <c r="B445">
        <v>62</v>
      </c>
      <c r="C445" t="s">
        <v>13</v>
      </c>
      <c r="D445">
        <v>59481</v>
      </c>
      <c r="E445">
        <v>30</v>
      </c>
      <c r="F445">
        <v>4</v>
      </c>
      <c r="G445">
        <v>35</v>
      </c>
      <c r="H445" t="s">
        <v>12</v>
      </c>
      <c r="I445">
        <v>121</v>
      </c>
      <c r="J445" s="1" t="str">
        <f t="shared" si="18"/>
        <v>valid</v>
      </c>
      <c r="K445" t="e">
        <f t="shared" ca="1" si="19"/>
        <v>#NAME?</v>
      </c>
      <c r="L445" t="str">
        <f>IF(E445&gt;=80,"High Value","Normal")</f>
        <v>Normal</v>
      </c>
      <c r="M445" s="2" t="str">
        <f t="shared" si="20"/>
        <v>YES</v>
      </c>
      <c r="N445" t="str">
        <f>VLOOKUP(A445,A444:H1444,8)</f>
        <v>Clothing</v>
      </c>
    </row>
    <row r="446" spans="1:14" x14ac:dyDescent="0.35">
      <c r="A446">
        <v>445</v>
      </c>
      <c r="B446">
        <v>62</v>
      </c>
      <c r="C446" t="s">
        <v>9</v>
      </c>
      <c r="D446">
        <v>75974</v>
      </c>
      <c r="E446">
        <v>68</v>
      </c>
      <c r="F446">
        <v>4</v>
      </c>
      <c r="G446">
        <v>46</v>
      </c>
      <c r="H446" t="s">
        <v>10</v>
      </c>
      <c r="I446">
        <v>180.09</v>
      </c>
      <c r="J446" s="1" t="str">
        <f t="shared" si="18"/>
        <v>valid</v>
      </c>
      <c r="K446" t="e">
        <f t="shared" ca="1" si="19"/>
        <v>#NAME?</v>
      </c>
      <c r="L446" t="str">
        <f>IF(E446&gt;=80,"High Value","Normal")</f>
        <v>Normal</v>
      </c>
      <c r="M446" s="2" t="str">
        <f t="shared" si="20"/>
        <v>YES</v>
      </c>
      <c r="N446" t="str">
        <f>VLOOKUP(A446,A445:H1445,8)</f>
        <v>Groceries</v>
      </c>
    </row>
    <row r="447" spans="1:14" x14ac:dyDescent="0.35">
      <c r="A447">
        <v>446</v>
      </c>
      <c r="B447">
        <v>53</v>
      </c>
      <c r="C447" t="s">
        <v>16</v>
      </c>
      <c r="D447">
        <v>56570</v>
      </c>
      <c r="E447">
        <v>29</v>
      </c>
      <c r="F447">
        <v>7</v>
      </c>
      <c r="G447">
        <v>37</v>
      </c>
      <c r="H447" t="s">
        <v>15</v>
      </c>
      <c r="I447">
        <v>432.65</v>
      </c>
      <c r="J447" s="1" t="str">
        <f t="shared" si="18"/>
        <v>valid</v>
      </c>
      <c r="K447" t="e">
        <f t="shared" ca="1" si="19"/>
        <v>#NAME?</v>
      </c>
      <c r="L447" t="str">
        <f>IF(E447&gt;=80,"High Value","Normal")</f>
        <v>Normal</v>
      </c>
      <c r="M447" s="2" t="str">
        <f t="shared" si="20"/>
        <v>YES</v>
      </c>
      <c r="N447" t="str">
        <f>VLOOKUP(A447,A446:H1446,8)</f>
        <v>Electronics</v>
      </c>
    </row>
    <row r="448" spans="1:14" x14ac:dyDescent="0.35">
      <c r="A448">
        <v>447</v>
      </c>
      <c r="B448">
        <v>27</v>
      </c>
      <c r="C448" t="s">
        <v>13</v>
      </c>
      <c r="D448">
        <v>68689</v>
      </c>
      <c r="E448">
        <v>83</v>
      </c>
      <c r="F448">
        <v>8</v>
      </c>
      <c r="G448">
        <v>33</v>
      </c>
      <c r="H448" t="s">
        <v>10</v>
      </c>
      <c r="I448">
        <v>782.58</v>
      </c>
      <c r="J448" s="1" t="str">
        <f t="shared" si="18"/>
        <v>valid</v>
      </c>
      <c r="K448" t="e">
        <f t="shared" ca="1" si="19"/>
        <v>#NAME?</v>
      </c>
      <c r="L448" t="str">
        <f>IF(E448&gt;=80,"High Value","Normal")</f>
        <v>High Value</v>
      </c>
      <c r="M448" s="2" t="b">
        <f t="shared" si="20"/>
        <v>0</v>
      </c>
      <c r="N448" t="str">
        <f>VLOOKUP(A448,A447:H1447,8)</f>
        <v>Groceries</v>
      </c>
    </row>
    <row r="449" spans="1:14" x14ac:dyDescent="0.35">
      <c r="A449">
        <v>448</v>
      </c>
      <c r="B449">
        <v>31</v>
      </c>
      <c r="C449" t="s">
        <v>9</v>
      </c>
      <c r="D449">
        <v>46106</v>
      </c>
      <c r="E449">
        <v>72</v>
      </c>
      <c r="F449">
        <v>7</v>
      </c>
      <c r="G449">
        <v>2</v>
      </c>
      <c r="H449" t="s">
        <v>11</v>
      </c>
      <c r="I449">
        <v>59.82</v>
      </c>
      <c r="J449" s="1" t="str">
        <f t="shared" si="18"/>
        <v>valid</v>
      </c>
      <c r="K449" t="e">
        <f t="shared" ca="1" si="19"/>
        <v>#NAME?</v>
      </c>
      <c r="L449" t="str">
        <f>IF(E449&gt;=80,"High Value","Normal")</f>
        <v>Normal</v>
      </c>
      <c r="M449" s="2" t="b">
        <f t="shared" si="20"/>
        <v>0</v>
      </c>
      <c r="N449" t="str">
        <f>VLOOKUP(A449,A448:H1448,8)</f>
        <v>Sports</v>
      </c>
    </row>
    <row r="450" spans="1:14" x14ac:dyDescent="0.35">
      <c r="A450">
        <v>449</v>
      </c>
      <c r="B450">
        <v>50</v>
      </c>
      <c r="C450" t="s">
        <v>16</v>
      </c>
      <c r="D450">
        <v>46524</v>
      </c>
      <c r="E450">
        <v>1</v>
      </c>
      <c r="F450">
        <v>4</v>
      </c>
      <c r="G450">
        <v>7</v>
      </c>
      <c r="H450" t="s">
        <v>14</v>
      </c>
      <c r="I450">
        <v>371.62</v>
      </c>
      <c r="J450" s="1" t="str">
        <f t="shared" si="18"/>
        <v>valid</v>
      </c>
      <c r="K450" t="e">
        <f t="shared" ca="1" si="19"/>
        <v>#NAME?</v>
      </c>
      <c r="L450" t="str">
        <f>IF(E450&gt;=80,"High Value","Normal")</f>
        <v>Normal</v>
      </c>
      <c r="M450" s="2" t="b">
        <f t="shared" si="20"/>
        <v>0</v>
      </c>
      <c r="N450" t="str">
        <f>VLOOKUP(A450,A449:H1449,8)</f>
        <v>Home &amp; Garden</v>
      </c>
    </row>
    <row r="451" spans="1:14" x14ac:dyDescent="0.35">
      <c r="A451">
        <v>450</v>
      </c>
      <c r="B451">
        <v>48</v>
      </c>
      <c r="C451" t="s">
        <v>16</v>
      </c>
      <c r="D451">
        <v>60382</v>
      </c>
      <c r="E451">
        <v>13</v>
      </c>
      <c r="F451">
        <v>3</v>
      </c>
      <c r="G451">
        <v>27</v>
      </c>
      <c r="H451" t="s">
        <v>15</v>
      </c>
      <c r="I451">
        <v>694.59</v>
      </c>
      <c r="J451" s="1" t="str">
        <f t="shared" ref="J451:J514" si="21">IF(AND(B451&gt;=18, B451&lt;=100), "valid", "invalid")</f>
        <v>valid</v>
      </c>
      <c r="K451" t="e">
        <f t="shared" ref="K451:K514" ca="1" si="22">IFS(OR(C451= "Female",C451="female",C451= "F"), "Female", OR(C451="Male", C451="male",C451= "M"), "Male", TRUE, "Other")</f>
        <v>#NAME?</v>
      </c>
      <c r="L451" t="str">
        <f>IF(E451&gt;=80,"High Value","Normal")</f>
        <v>Normal</v>
      </c>
      <c r="M451" s="2" t="str">
        <f t="shared" ref="M451:M514" si="23">IF(AND(B451&gt;30,G451&gt;20), "YES")</f>
        <v>YES</v>
      </c>
      <c r="N451" t="str">
        <f>VLOOKUP(A451,A450:H1450,8)</f>
        <v>Electronics</v>
      </c>
    </row>
    <row r="452" spans="1:14" x14ac:dyDescent="0.35">
      <c r="A452">
        <v>451</v>
      </c>
      <c r="B452">
        <v>24</v>
      </c>
      <c r="C452" t="s">
        <v>13</v>
      </c>
      <c r="D452">
        <v>147555</v>
      </c>
      <c r="E452">
        <v>65</v>
      </c>
      <c r="F452">
        <v>4</v>
      </c>
      <c r="G452">
        <v>28</v>
      </c>
      <c r="H452" t="s">
        <v>10</v>
      </c>
      <c r="I452">
        <v>434.84</v>
      </c>
      <c r="J452" s="1" t="str">
        <f t="shared" si="21"/>
        <v>valid</v>
      </c>
      <c r="K452" t="e">
        <f t="shared" ca="1" si="22"/>
        <v>#NAME?</v>
      </c>
      <c r="L452" t="str">
        <f>IF(E452&gt;=80,"High Value","Normal")</f>
        <v>Normal</v>
      </c>
      <c r="M452" s="2" t="b">
        <f t="shared" si="23"/>
        <v>0</v>
      </c>
      <c r="N452" t="str">
        <f>VLOOKUP(A452,A451:H1451,8)</f>
        <v>Groceries</v>
      </c>
    </row>
    <row r="453" spans="1:14" x14ac:dyDescent="0.35">
      <c r="A453">
        <v>452</v>
      </c>
      <c r="B453">
        <v>45</v>
      </c>
      <c r="C453" t="s">
        <v>9</v>
      </c>
      <c r="D453">
        <v>93800</v>
      </c>
      <c r="E453">
        <v>33</v>
      </c>
      <c r="F453">
        <v>10</v>
      </c>
      <c r="G453">
        <v>32</v>
      </c>
      <c r="H453" t="s">
        <v>11</v>
      </c>
      <c r="I453">
        <v>391.45</v>
      </c>
      <c r="J453" s="1" t="str">
        <f t="shared" si="21"/>
        <v>valid</v>
      </c>
      <c r="K453" t="e">
        <f t="shared" ca="1" si="22"/>
        <v>#NAME?</v>
      </c>
      <c r="L453" t="str">
        <f>IF(E453&gt;=80,"High Value","Normal")</f>
        <v>Normal</v>
      </c>
      <c r="M453" s="2" t="str">
        <f t="shared" si="23"/>
        <v>YES</v>
      </c>
      <c r="N453" t="str">
        <f>VLOOKUP(A453,A452:H1452,8)</f>
        <v>Sports</v>
      </c>
    </row>
    <row r="454" spans="1:14" x14ac:dyDescent="0.35">
      <c r="A454">
        <v>453</v>
      </c>
      <c r="B454">
        <v>30</v>
      </c>
      <c r="C454" t="s">
        <v>16</v>
      </c>
      <c r="D454">
        <v>35565</v>
      </c>
      <c r="E454">
        <v>83</v>
      </c>
      <c r="F454">
        <v>8</v>
      </c>
      <c r="G454">
        <v>17</v>
      </c>
      <c r="H454" t="s">
        <v>15</v>
      </c>
      <c r="I454">
        <v>238.79</v>
      </c>
      <c r="J454" s="1" t="str">
        <f t="shared" si="21"/>
        <v>valid</v>
      </c>
      <c r="K454" t="e">
        <f t="shared" ca="1" si="22"/>
        <v>#NAME?</v>
      </c>
      <c r="L454" t="str">
        <f>IF(E454&gt;=80,"High Value","Normal")</f>
        <v>High Value</v>
      </c>
      <c r="M454" s="2" t="b">
        <f t="shared" si="23"/>
        <v>0</v>
      </c>
      <c r="N454" t="str">
        <f>VLOOKUP(A454,A453:H1453,8)</f>
        <v>Electronics</v>
      </c>
    </row>
    <row r="455" spans="1:14" x14ac:dyDescent="0.35">
      <c r="A455">
        <v>454</v>
      </c>
      <c r="B455">
        <v>27</v>
      </c>
      <c r="C455" t="s">
        <v>16</v>
      </c>
      <c r="D455">
        <v>143992</v>
      </c>
      <c r="E455">
        <v>31</v>
      </c>
      <c r="F455">
        <v>2</v>
      </c>
      <c r="G455">
        <v>32</v>
      </c>
      <c r="H455" t="s">
        <v>14</v>
      </c>
      <c r="I455">
        <v>994.1</v>
      </c>
      <c r="J455" s="1" t="str">
        <f t="shared" si="21"/>
        <v>valid</v>
      </c>
      <c r="K455" t="e">
        <f t="shared" ca="1" si="22"/>
        <v>#NAME?</v>
      </c>
      <c r="L455" t="str">
        <f>IF(E455&gt;=80,"High Value","Normal")</f>
        <v>Normal</v>
      </c>
      <c r="M455" s="2" t="b">
        <f t="shared" si="23"/>
        <v>0</v>
      </c>
      <c r="N455" t="str">
        <f>VLOOKUP(A455,A454:H1454,8)</f>
        <v>Home &amp; Garden</v>
      </c>
    </row>
    <row r="456" spans="1:14" x14ac:dyDescent="0.35">
      <c r="A456">
        <v>455</v>
      </c>
      <c r="B456">
        <v>28</v>
      </c>
      <c r="C456" t="s">
        <v>13</v>
      </c>
      <c r="D456">
        <v>126571</v>
      </c>
      <c r="E456">
        <v>82</v>
      </c>
      <c r="F456">
        <v>10</v>
      </c>
      <c r="G456">
        <v>8</v>
      </c>
      <c r="H456" t="s">
        <v>15</v>
      </c>
      <c r="I456">
        <v>26.12</v>
      </c>
      <c r="J456" s="1" t="str">
        <f t="shared" si="21"/>
        <v>valid</v>
      </c>
      <c r="K456" t="e">
        <f t="shared" ca="1" si="22"/>
        <v>#NAME?</v>
      </c>
      <c r="L456" t="str">
        <f>IF(E456&gt;=80,"High Value","Normal")</f>
        <v>High Value</v>
      </c>
      <c r="M456" s="2" t="b">
        <f t="shared" si="23"/>
        <v>0</v>
      </c>
      <c r="N456" t="str">
        <f>VLOOKUP(A456,A455:H1455,8)</f>
        <v>Electronics</v>
      </c>
    </row>
    <row r="457" spans="1:14" x14ac:dyDescent="0.35">
      <c r="A457">
        <v>456</v>
      </c>
      <c r="B457">
        <v>61</v>
      </c>
      <c r="C457" t="s">
        <v>13</v>
      </c>
      <c r="D457">
        <v>57851</v>
      </c>
      <c r="E457">
        <v>46</v>
      </c>
      <c r="F457">
        <v>3</v>
      </c>
      <c r="G457">
        <v>5</v>
      </c>
      <c r="H457" t="s">
        <v>12</v>
      </c>
      <c r="I457">
        <v>604.29</v>
      </c>
      <c r="J457" s="1" t="str">
        <f t="shared" si="21"/>
        <v>valid</v>
      </c>
      <c r="K457" t="e">
        <f t="shared" ca="1" si="22"/>
        <v>#NAME?</v>
      </c>
      <c r="L457" t="str">
        <f>IF(E457&gt;=80,"High Value","Normal")</f>
        <v>Normal</v>
      </c>
      <c r="M457" s="2" t="b">
        <f t="shared" si="23"/>
        <v>0</v>
      </c>
      <c r="N457" t="str">
        <f>VLOOKUP(A457,A456:H1456,8)</f>
        <v>Clothing</v>
      </c>
    </row>
    <row r="458" spans="1:14" x14ac:dyDescent="0.35">
      <c r="A458">
        <v>457</v>
      </c>
      <c r="B458">
        <v>30</v>
      </c>
      <c r="C458" t="s">
        <v>13</v>
      </c>
      <c r="D458">
        <v>120083</v>
      </c>
      <c r="E458">
        <v>47</v>
      </c>
      <c r="F458">
        <v>1</v>
      </c>
      <c r="G458">
        <v>49</v>
      </c>
      <c r="H458" t="s">
        <v>15</v>
      </c>
      <c r="I458">
        <v>443.12</v>
      </c>
      <c r="J458" s="1" t="str">
        <f t="shared" si="21"/>
        <v>valid</v>
      </c>
      <c r="K458" t="e">
        <f t="shared" ca="1" si="22"/>
        <v>#NAME?</v>
      </c>
      <c r="L458" t="str">
        <f>IF(E458&gt;=80,"High Value","Normal")</f>
        <v>Normal</v>
      </c>
      <c r="M458" s="2" t="b">
        <f t="shared" si="23"/>
        <v>0</v>
      </c>
      <c r="N458" t="str">
        <f>VLOOKUP(A458,A457:H1457,8)</f>
        <v>Electronics</v>
      </c>
    </row>
    <row r="459" spans="1:14" x14ac:dyDescent="0.35">
      <c r="A459">
        <v>458</v>
      </c>
      <c r="B459">
        <v>62</v>
      </c>
      <c r="C459" t="s">
        <v>16</v>
      </c>
      <c r="D459">
        <v>32827</v>
      </c>
      <c r="E459">
        <v>69</v>
      </c>
      <c r="F459">
        <v>8</v>
      </c>
      <c r="G459">
        <v>2</v>
      </c>
      <c r="H459" t="s">
        <v>10</v>
      </c>
      <c r="I459">
        <v>468.37</v>
      </c>
      <c r="J459" s="1" t="str">
        <f t="shared" si="21"/>
        <v>valid</v>
      </c>
      <c r="K459" t="e">
        <f t="shared" ca="1" si="22"/>
        <v>#NAME?</v>
      </c>
      <c r="L459" t="str">
        <f>IF(E459&gt;=80,"High Value","Normal")</f>
        <v>Normal</v>
      </c>
      <c r="M459" s="2" t="b">
        <f t="shared" si="23"/>
        <v>0</v>
      </c>
      <c r="N459" t="str">
        <f>VLOOKUP(A459,A458:H1458,8)</f>
        <v>Groceries</v>
      </c>
    </row>
    <row r="460" spans="1:14" x14ac:dyDescent="0.35">
      <c r="A460">
        <v>459</v>
      </c>
      <c r="B460">
        <v>30</v>
      </c>
      <c r="C460" t="s">
        <v>13</v>
      </c>
      <c r="D460">
        <v>100399</v>
      </c>
      <c r="E460">
        <v>96</v>
      </c>
      <c r="F460">
        <v>2</v>
      </c>
      <c r="G460">
        <v>5</v>
      </c>
      <c r="H460" t="s">
        <v>12</v>
      </c>
      <c r="I460">
        <v>705.64</v>
      </c>
      <c r="J460" s="1" t="str">
        <f t="shared" si="21"/>
        <v>valid</v>
      </c>
      <c r="K460" t="e">
        <f t="shared" ca="1" si="22"/>
        <v>#NAME?</v>
      </c>
      <c r="L460" t="str">
        <f>IF(E460&gt;=80,"High Value","Normal")</f>
        <v>High Value</v>
      </c>
      <c r="M460" s="2" t="b">
        <f t="shared" si="23"/>
        <v>0</v>
      </c>
      <c r="N460" t="str">
        <f>VLOOKUP(A460,A459:H1459,8)</f>
        <v>Clothing</v>
      </c>
    </row>
    <row r="461" spans="1:14" x14ac:dyDescent="0.35">
      <c r="A461">
        <v>460</v>
      </c>
      <c r="B461">
        <v>55</v>
      </c>
      <c r="C461" t="s">
        <v>9</v>
      </c>
      <c r="D461">
        <v>105647</v>
      </c>
      <c r="E461">
        <v>94</v>
      </c>
      <c r="F461">
        <v>1</v>
      </c>
      <c r="G461">
        <v>14</v>
      </c>
      <c r="H461" t="s">
        <v>11</v>
      </c>
      <c r="I461">
        <v>737.91</v>
      </c>
      <c r="J461" s="1" t="str">
        <f t="shared" si="21"/>
        <v>valid</v>
      </c>
      <c r="K461" t="e">
        <f t="shared" ca="1" si="22"/>
        <v>#NAME?</v>
      </c>
      <c r="L461" t="str">
        <f>IF(E461&gt;=80,"High Value","Normal")</f>
        <v>High Value</v>
      </c>
      <c r="M461" s="2" t="b">
        <f t="shared" si="23"/>
        <v>0</v>
      </c>
      <c r="N461" t="str">
        <f>VLOOKUP(A461,A460:H1460,8)</f>
        <v>Sports</v>
      </c>
    </row>
    <row r="462" spans="1:14" x14ac:dyDescent="0.35">
      <c r="A462">
        <v>461</v>
      </c>
      <c r="B462">
        <v>41</v>
      </c>
      <c r="C462" t="s">
        <v>16</v>
      </c>
      <c r="D462">
        <v>141605</v>
      </c>
      <c r="E462">
        <v>100</v>
      </c>
      <c r="F462">
        <v>4</v>
      </c>
      <c r="G462">
        <v>20</v>
      </c>
      <c r="H462" t="s">
        <v>14</v>
      </c>
      <c r="I462">
        <v>693.02</v>
      </c>
      <c r="J462" s="1" t="str">
        <f t="shared" si="21"/>
        <v>valid</v>
      </c>
      <c r="K462" t="e">
        <f t="shared" ca="1" si="22"/>
        <v>#NAME?</v>
      </c>
      <c r="L462" t="str">
        <f>IF(E462&gt;=80,"High Value","Normal")</f>
        <v>High Value</v>
      </c>
      <c r="M462" s="2" t="b">
        <f t="shared" si="23"/>
        <v>0</v>
      </c>
      <c r="N462" t="str">
        <f>VLOOKUP(A462,A461:H1461,8)</f>
        <v>Home &amp; Garden</v>
      </c>
    </row>
    <row r="463" spans="1:14" x14ac:dyDescent="0.35">
      <c r="A463">
        <v>462</v>
      </c>
      <c r="B463">
        <v>57</v>
      </c>
      <c r="C463" t="s">
        <v>9</v>
      </c>
      <c r="D463">
        <v>46563</v>
      </c>
      <c r="E463">
        <v>86</v>
      </c>
      <c r="F463">
        <v>4</v>
      </c>
      <c r="G463">
        <v>24</v>
      </c>
      <c r="H463" t="s">
        <v>15</v>
      </c>
      <c r="I463">
        <v>800.46</v>
      </c>
      <c r="J463" s="1" t="str">
        <f t="shared" si="21"/>
        <v>valid</v>
      </c>
      <c r="K463" t="e">
        <f t="shared" ca="1" si="22"/>
        <v>#NAME?</v>
      </c>
      <c r="L463" t="str">
        <f>IF(E463&gt;=80,"High Value","Normal")</f>
        <v>High Value</v>
      </c>
      <c r="M463" s="2" t="str">
        <f t="shared" si="23"/>
        <v>YES</v>
      </c>
      <c r="N463" t="str">
        <f>VLOOKUP(A463,A462:H1462,8)</f>
        <v>Electronics</v>
      </c>
    </row>
    <row r="464" spans="1:14" x14ac:dyDescent="0.35">
      <c r="A464">
        <v>463</v>
      </c>
      <c r="B464">
        <v>53</v>
      </c>
      <c r="C464" t="s">
        <v>16</v>
      </c>
      <c r="D464">
        <v>37569</v>
      </c>
      <c r="E464">
        <v>18</v>
      </c>
      <c r="F464">
        <v>8</v>
      </c>
      <c r="G464">
        <v>50</v>
      </c>
      <c r="H464" t="s">
        <v>12</v>
      </c>
      <c r="I464">
        <v>634.91999999999996</v>
      </c>
      <c r="J464" s="1" t="str">
        <f t="shared" si="21"/>
        <v>valid</v>
      </c>
      <c r="K464" t="e">
        <f t="shared" ca="1" si="22"/>
        <v>#NAME?</v>
      </c>
      <c r="L464" t="str">
        <f>IF(E464&gt;=80,"High Value","Normal")</f>
        <v>Normal</v>
      </c>
      <c r="M464" s="2" t="str">
        <f t="shared" si="23"/>
        <v>YES</v>
      </c>
      <c r="N464" t="str">
        <f>VLOOKUP(A464,A463:H1463,8)</f>
        <v>Clothing</v>
      </c>
    </row>
    <row r="465" spans="1:14" x14ac:dyDescent="0.35">
      <c r="A465">
        <v>464</v>
      </c>
      <c r="B465">
        <v>65</v>
      </c>
      <c r="C465" t="s">
        <v>9</v>
      </c>
      <c r="D465">
        <v>138529</v>
      </c>
      <c r="E465">
        <v>87</v>
      </c>
      <c r="F465">
        <v>10</v>
      </c>
      <c r="G465">
        <v>14</v>
      </c>
      <c r="H465" t="s">
        <v>11</v>
      </c>
      <c r="I465">
        <v>461.61</v>
      </c>
      <c r="J465" s="1" t="str">
        <f t="shared" si="21"/>
        <v>valid</v>
      </c>
      <c r="K465" t="e">
        <f t="shared" ca="1" si="22"/>
        <v>#NAME?</v>
      </c>
      <c r="L465" t="str">
        <f>IF(E465&gt;=80,"High Value","Normal")</f>
        <v>High Value</v>
      </c>
      <c r="M465" s="2" t="b">
        <f t="shared" si="23"/>
        <v>0</v>
      </c>
      <c r="N465" t="str">
        <f>VLOOKUP(A465,A464:H1464,8)</f>
        <v>Sports</v>
      </c>
    </row>
    <row r="466" spans="1:14" x14ac:dyDescent="0.35">
      <c r="A466">
        <v>465</v>
      </c>
      <c r="B466">
        <v>54</v>
      </c>
      <c r="C466" t="s">
        <v>9</v>
      </c>
      <c r="D466">
        <v>40858</v>
      </c>
      <c r="E466">
        <v>48</v>
      </c>
      <c r="F466">
        <v>6</v>
      </c>
      <c r="G466">
        <v>20</v>
      </c>
      <c r="H466" t="s">
        <v>12</v>
      </c>
      <c r="I466">
        <v>34.880000000000003</v>
      </c>
      <c r="J466" s="1" t="str">
        <f t="shared" si="21"/>
        <v>valid</v>
      </c>
      <c r="K466" t="e">
        <f t="shared" ca="1" si="22"/>
        <v>#NAME?</v>
      </c>
      <c r="L466" t="str">
        <f>IF(E466&gt;=80,"High Value","Normal")</f>
        <v>Normal</v>
      </c>
      <c r="M466" s="2" t="b">
        <f t="shared" si="23"/>
        <v>0</v>
      </c>
      <c r="N466" t="str">
        <f>VLOOKUP(A466,A465:H1465,8)</f>
        <v>Clothing</v>
      </c>
    </row>
    <row r="467" spans="1:14" x14ac:dyDescent="0.35">
      <c r="A467">
        <v>466</v>
      </c>
      <c r="B467">
        <v>69</v>
      </c>
      <c r="C467" t="s">
        <v>13</v>
      </c>
      <c r="D467">
        <v>143640</v>
      </c>
      <c r="E467">
        <v>14</v>
      </c>
      <c r="F467">
        <v>8</v>
      </c>
      <c r="G467">
        <v>2</v>
      </c>
      <c r="H467" t="s">
        <v>12</v>
      </c>
      <c r="I467">
        <v>387.39</v>
      </c>
      <c r="J467" s="1" t="str">
        <f t="shared" si="21"/>
        <v>valid</v>
      </c>
      <c r="K467" t="e">
        <f t="shared" ca="1" si="22"/>
        <v>#NAME?</v>
      </c>
      <c r="L467" t="str">
        <f>IF(E467&gt;=80,"High Value","Normal")</f>
        <v>Normal</v>
      </c>
      <c r="M467" s="2" t="b">
        <f t="shared" si="23"/>
        <v>0</v>
      </c>
      <c r="N467" t="str">
        <f>VLOOKUP(A467,A466:H1466,8)</f>
        <v>Clothing</v>
      </c>
    </row>
    <row r="468" spans="1:14" x14ac:dyDescent="0.35">
      <c r="A468">
        <v>467</v>
      </c>
      <c r="B468">
        <v>25</v>
      </c>
      <c r="C468" t="s">
        <v>16</v>
      </c>
      <c r="D468">
        <v>99668</v>
      </c>
      <c r="E468">
        <v>1</v>
      </c>
      <c r="F468">
        <v>1</v>
      </c>
      <c r="G468">
        <v>50</v>
      </c>
      <c r="H468" t="s">
        <v>10</v>
      </c>
      <c r="I468">
        <v>937.86</v>
      </c>
      <c r="J468" s="1" t="str">
        <f t="shared" si="21"/>
        <v>valid</v>
      </c>
      <c r="K468" t="e">
        <f t="shared" ca="1" si="22"/>
        <v>#NAME?</v>
      </c>
      <c r="L468" t="str">
        <f>IF(E468&gt;=80,"High Value","Normal")</f>
        <v>Normal</v>
      </c>
      <c r="M468" s="2" t="b">
        <f t="shared" si="23"/>
        <v>0</v>
      </c>
      <c r="N468" t="str">
        <f>VLOOKUP(A468,A467:H1467,8)</f>
        <v>Groceries</v>
      </c>
    </row>
    <row r="469" spans="1:14" x14ac:dyDescent="0.35">
      <c r="A469">
        <v>468</v>
      </c>
      <c r="B469">
        <v>54</v>
      </c>
      <c r="C469" t="s">
        <v>16</v>
      </c>
      <c r="D469">
        <v>32276</v>
      </c>
      <c r="E469">
        <v>73</v>
      </c>
      <c r="F469">
        <v>2</v>
      </c>
      <c r="G469">
        <v>44</v>
      </c>
      <c r="H469" t="s">
        <v>12</v>
      </c>
      <c r="I469">
        <v>554.58000000000004</v>
      </c>
      <c r="J469" s="1" t="str">
        <f t="shared" si="21"/>
        <v>valid</v>
      </c>
      <c r="K469" t="e">
        <f t="shared" ca="1" si="22"/>
        <v>#NAME?</v>
      </c>
      <c r="L469" t="str">
        <f>IF(E469&gt;=80,"High Value","Normal")</f>
        <v>Normal</v>
      </c>
      <c r="M469" s="2" t="str">
        <f t="shared" si="23"/>
        <v>YES</v>
      </c>
      <c r="N469" t="str">
        <f>VLOOKUP(A469,A468:H1468,8)</f>
        <v>Clothing</v>
      </c>
    </row>
    <row r="470" spans="1:14" x14ac:dyDescent="0.35">
      <c r="A470">
        <v>469</v>
      </c>
      <c r="B470">
        <v>32</v>
      </c>
      <c r="C470" t="s">
        <v>13</v>
      </c>
      <c r="D470">
        <v>100736</v>
      </c>
      <c r="E470">
        <v>84</v>
      </c>
      <c r="F470">
        <v>10</v>
      </c>
      <c r="G470">
        <v>32</v>
      </c>
      <c r="H470" t="s">
        <v>10</v>
      </c>
      <c r="I470">
        <v>863.93</v>
      </c>
      <c r="J470" s="1" t="str">
        <f t="shared" si="21"/>
        <v>valid</v>
      </c>
      <c r="K470" t="e">
        <f t="shared" ca="1" si="22"/>
        <v>#NAME?</v>
      </c>
      <c r="L470" t="str">
        <f>IF(E470&gt;=80,"High Value","Normal")</f>
        <v>High Value</v>
      </c>
      <c r="M470" s="2" t="str">
        <f t="shared" si="23"/>
        <v>YES</v>
      </c>
      <c r="N470" t="str">
        <f>VLOOKUP(A470,A469:H1469,8)</f>
        <v>Groceries</v>
      </c>
    </row>
    <row r="471" spans="1:14" x14ac:dyDescent="0.35">
      <c r="A471">
        <v>470</v>
      </c>
      <c r="B471">
        <v>53</v>
      </c>
      <c r="C471" t="s">
        <v>13</v>
      </c>
      <c r="D471">
        <v>139508</v>
      </c>
      <c r="E471">
        <v>92</v>
      </c>
      <c r="F471">
        <v>6</v>
      </c>
      <c r="G471">
        <v>39</v>
      </c>
      <c r="H471" t="s">
        <v>12</v>
      </c>
      <c r="I471">
        <v>172.99</v>
      </c>
      <c r="J471" s="1" t="str">
        <f t="shared" si="21"/>
        <v>valid</v>
      </c>
      <c r="K471" t="e">
        <f t="shared" ca="1" si="22"/>
        <v>#NAME?</v>
      </c>
      <c r="L471" t="str">
        <f>IF(E471&gt;=80,"High Value","Normal")</f>
        <v>High Value</v>
      </c>
      <c r="M471" s="2" t="str">
        <f t="shared" si="23"/>
        <v>YES</v>
      </c>
      <c r="N471" t="str">
        <f>VLOOKUP(A471,A470:H1470,8)</f>
        <v>Clothing</v>
      </c>
    </row>
    <row r="472" spans="1:14" x14ac:dyDescent="0.35">
      <c r="A472">
        <v>471</v>
      </c>
      <c r="B472">
        <v>32</v>
      </c>
      <c r="C472" t="s">
        <v>16</v>
      </c>
      <c r="D472">
        <v>38683</v>
      </c>
      <c r="E472">
        <v>59</v>
      </c>
      <c r="F472">
        <v>10</v>
      </c>
      <c r="G472">
        <v>47</v>
      </c>
      <c r="H472" t="s">
        <v>10</v>
      </c>
      <c r="I472">
        <v>846.85</v>
      </c>
      <c r="J472" s="1" t="str">
        <f t="shared" si="21"/>
        <v>valid</v>
      </c>
      <c r="K472" t="e">
        <f t="shared" ca="1" si="22"/>
        <v>#NAME?</v>
      </c>
      <c r="L472" t="str">
        <f>IF(E472&gt;=80,"High Value","Normal")</f>
        <v>Normal</v>
      </c>
      <c r="M472" s="2" t="str">
        <f t="shared" si="23"/>
        <v>YES</v>
      </c>
      <c r="N472" t="str">
        <f>VLOOKUP(A472,A471:H1471,8)</f>
        <v>Groceries</v>
      </c>
    </row>
    <row r="473" spans="1:14" x14ac:dyDescent="0.35">
      <c r="A473">
        <v>472</v>
      </c>
      <c r="B473">
        <v>35</v>
      </c>
      <c r="C473" t="s">
        <v>13</v>
      </c>
      <c r="D473">
        <v>42390</v>
      </c>
      <c r="E473">
        <v>27</v>
      </c>
      <c r="F473">
        <v>3</v>
      </c>
      <c r="G473">
        <v>41</v>
      </c>
      <c r="H473" t="s">
        <v>15</v>
      </c>
      <c r="I473">
        <v>781.31</v>
      </c>
      <c r="J473" s="1" t="str">
        <f t="shared" si="21"/>
        <v>valid</v>
      </c>
      <c r="K473" t="e">
        <f t="shared" ca="1" si="22"/>
        <v>#NAME?</v>
      </c>
      <c r="L473" t="str">
        <f>IF(E473&gt;=80,"High Value","Normal")</f>
        <v>Normal</v>
      </c>
      <c r="M473" s="2" t="str">
        <f t="shared" si="23"/>
        <v>YES</v>
      </c>
      <c r="N473" t="str">
        <f>VLOOKUP(A473,A472:H1472,8)</f>
        <v>Electronics</v>
      </c>
    </row>
    <row r="474" spans="1:14" x14ac:dyDescent="0.35">
      <c r="A474">
        <v>473</v>
      </c>
      <c r="B474">
        <v>53</v>
      </c>
      <c r="C474" t="s">
        <v>9</v>
      </c>
      <c r="D474">
        <v>104435</v>
      </c>
      <c r="E474">
        <v>42</v>
      </c>
      <c r="F474">
        <v>4</v>
      </c>
      <c r="G474">
        <v>34</v>
      </c>
      <c r="H474" t="s">
        <v>14</v>
      </c>
      <c r="I474">
        <v>795.81</v>
      </c>
      <c r="J474" s="1" t="str">
        <f t="shared" si="21"/>
        <v>valid</v>
      </c>
      <c r="K474" t="e">
        <f t="shared" ca="1" si="22"/>
        <v>#NAME?</v>
      </c>
      <c r="L474" t="str">
        <f>IF(E474&gt;=80,"High Value","Normal")</f>
        <v>Normal</v>
      </c>
      <c r="M474" s="2" t="str">
        <f t="shared" si="23"/>
        <v>YES</v>
      </c>
      <c r="N474" t="str">
        <f>VLOOKUP(A474,A473:H1473,8)</f>
        <v>Home &amp; Garden</v>
      </c>
    </row>
    <row r="475" spans="1:14" x14ac:dyDescent="0.35">
      <c r="A475">
        <v>474</v>
      </c>
      <c r="B475">
        <v>54</v>
      </c>
      <c r="C475" t="s">
        <v>9</v>
      </c>
      <c r="D475">
        <v>111261</v>
      </c>
      <c r="E475">
        <v>56</v>
      </c>
      <c r="F475">
        <v>1</v>
      </c>
      <c r="G475">
        <v>44</v>
      </c>
      <c r="H475" t="s">
        <v>10</v>
      </c>
      <c r="I475">
        <v>216.09</v>
      </c>
      <c r="J475" s="1" t="str">
        <f t="shared" si="21"/>
        <v>valid</v>
      </c>
      <c r="K475" t="e">
        <f t="shared" ca="1" si="22"/>
        <v>#NAME?</v>
      </c>
      <c r="L475" t="str">
        <f>IF(E475&gt;=80,"High Value","Normal")</f>
        <v>Normal</v>
      </c>
      <c r="M475" s="2" t="str">
        <f t="shared" si="23"/>
        <v>YES</v>
      </c>
      <c r="N475" t="str">
        <f>VLOOKUP(A475,A474:H1474,8)</f>
        <v>Groceries</v>
      </c>
    </row>
    <row r="476" spans="1:14" x14ac:dyDescent="0.35">
      <c r="A476">
        <v>475</v>
      </c>
      <c r="B476">
        <v>36</v>
      </c>
      <c r="C476" t="s">
        <v>13</v>
      </c>
      <c r="D476">
        <v>112674</v>
      </c>
      <c r="E476">
        <v>12</v>
      </c>
      <c r="F476">
        <v>7</v>
      </c>
      <c r="G476">
        <v>35</v>
      </c>
      <c r="H476" t="s">
        <v>10</v>
      </c>
      <c r="I476">
        <v>590.32000000000005</v>
      </c>
      <c r="J476" s="1" t="str">
        <f t="shared" si="21"/>
        <v>valid</v>
      </c>
      <c r="K476" t="e">
        <f t="shared" ca="1" si="22"/>
        <v>#NAME?</v>
      </c>
      <c r="L476" t="str">
        <f>IF(E476&gt;=80,"High Value","Normal")</f>
        <v>Normal</v>
      </c>
      <c r="M476" s="2" t="str">
        <f t="shared" si="23"/>
        <v>YES</v>
      </c>
      <c r="N476" t="str">
        <f>VLOOKUP(A476,A475:H1475,8)</f>
        <v>Groceries</v>
      </c>
    </row>
    <row r="477" spans="1:14" x14ac:dyDescent="0.35">
      <c r="A477">
        <v>476</v>
      </c>
      <c r="B477">
        <v>38</v>
      </c>
      <c r="C477" t="s">
        <v>16</v>
      </c>
      <c r="D477">
        <v>144083</v>
      </c>
      <c r="E477">
        <v>23</v>
      </c>
      <c r="F477">
        <v>1</v>
      </c>
      <c r="G477">
        <v>28</v>
      </c>
      <c r="H477" t="s">
        <v>10</v>
      </c>
      <c r="I477">
        <v>158.15</v>
      </c>
      <c r="J477" s="1" t="str">
        <f t="shared" si="21"/>
        <v>valid</v>
      </c>
      <c r="K477" t="e">
        <f t="shared" ca="1" si="22"/>
        <v>#NAME?</v>
      </c>
      <c r="L477" t="str">
        <f>IF(E477&gt;=80,"High Value","Normal")</f>
        <v>Normal</v>
      </c>
      <c r="M477" s="2" t="str">
        <f t="shared" si="23"/>
        <v>YES</v>
      </c>
      <c r="N477" t="str">
        <f>VLOOKUP(A477,A476:H1476,8)</f>
        <v>Groceries</v>
      </c>
    </row>
    <row r="478" spans="1:14" x14ac:dyDescent="0.35">
      <c r="A478">
        <v>477</v>
      </c>
      <c r="B478">
        <v>42</v>
      </c>
      <c r="C478" t="s">
        <v>16</v>
      </c>
      <c r="D478">
        <v>115342</v>
      </c>
      <c r="E478">
        <v>19</v>
      </c>
      <c r="F478">
        <v>4</v>
      </c>
      <c r="G478">
        <v>47</v>
      </c>
      <c r="H478" t="s">
        <v>11</v>
      </c>
      <c r="I478">
        <v>13.69</v>
      </c>
      <c r="J478" s="1" t="str">
        <f t="shared" si="21"/>
        <v>valid</v>
      </c>
      <c r="K478" t="e">
        <f t="shared" ca="1" si="22"/>
        <v>#NAME?</v>
      </c>
      <c r="L478" t="str">
        <f>IF(E478&gt;=80,"High Value","Normal")</f>
        <v>Normal</v>
      </c>
      <c r="M478" s="2" t="str">
        <f t="shared" si="23"/>
        <v>YES</v>
      </c>
      <c r="N478" t="str">
        <f>VLOOKUP(A478,A477:H1477,8)</f>
        <v>Sports</v>
      </c>
    </row>
    <row r="479" spans="1:14" x14ac:dyDescent="0.35">
      <c r="A479">
        <v>478</v>
      </c>
      <c r="B479">
        <v>48</v>
      </c>
      <c r="C479" t="s">
        <v>13</v>
      </c>
      <c r="D479">
        <v>143424</v>
      </c>
      <c r="E479">
        <v>24</v>
      </c>
      <c r="F479">
        <v>3</v>
      </c>
      <c r="G479">
        <v>22</v>
      </c>
      <c r="H479" t="s">
        <v>14</v>
      </c>
      <c r="I479">
        <v>594.94000000000005</v>
      </c>
      <c r="J479" s="1" t="str">
        <f t="shared" si="21"/>
        <v>valid</v>
      </c>
      <c r="K479" t="e">
        <f t="shared" ca="1" si="22"/>
        <v>#NAME?</v>
      </c>
      <c r="L479" t="str">
        <f>IF(E479&gt;=80,"High Value","Normal")</f>
        <v>Normal</v>
      </c>
      <c r="M479" s="2" t="str">
        <f t="shared" si="23"/>
        <v>YES</v>
      </c>
      <c r="N479" t="str">
        <f>VLOOKUP(A479,A478:H1478,8)</f>
        <v>Home &amp; Garden</v>
      </c>
    </row>
    <row r="480" spans="1:14" x14ac:dyDescent="0.35">
      <c r="A480">
        <v>479</v>
      </c>
      <c r="B480">
        <v>58</v>
      </c>
      <c r="C480" t="s">
        <v>9</v>
      </c>
      <c r="D480">
        <v>137836</v>
      </c>
      <c r="E480">
        <v>19</v>
      </c>
      <c r="F480">
        <v>9</v>
      </c>
      <c r="G480">
        <v>21</v>
      </c>
      <c r="H480" t="s">
        <v>15</v>
      </c>
      <c r="I480">
        <v>172.39</v>
      </c>
      <c r="J480" s="1" t="str">
        <f t="shared" si="21"/>
        <v>valid</v>
      </c>
      <c r="K480" t="e">
        <f t="shared" ca="1" si="22"/>
        <v>#NAME?</v>
      </c>
      <c r="L480" t="str">
        <f>IF(E480&gt;=80,"High Value","Normal")</f>
        <v>Normal</v>
      </c>
      <c r="M480" s="2" t="str">
        <f t="shared" si="23"/>
        <v>YES</v>
      </c>
      <c r="N480" t="str">
        <f>VLOOKUP(A480,A479:H1479,8)</f>
        <v>Electronics</v>
      </c>
    </row>
    <row r="481" spans="1:14" x14ac:dyDescent="0.35">
      <c r="A481">
        <v>480</v>
      </c>
      <c r="B481">
        <v>19</v>
      </c>
      <c r="C481" t="s">
        <v>9</v>
      </c>
      <c r="D481">
        <v>35529</v>
      </c>
      <c r="E481">
        <v>62</v>
      </c>
      <c r="F481">
        <v>4</v>
      </c>
      <c r="G481">
        <v>24</v>
      </c>
      <c r="H481" t="s">
        <v>12</v>
      </c>
      <c r="I481">
        <v>177.69</v>
      </c>
      <c r="J481" s="1" t="str">
        <f t="shared" si="21"/>
        <v>valid</v>
      </c>
      <c r="K481" t="e">
        <f t="shared" ca="1" si="22"/>
        <v>#NAME?</v>
      </c>
      <c r="L481" t="str">
        <f>IF(E481&gt;=80,"High Value","Normal")</f>
        <v>Normal</v>
      </c>
      <c r="M481" s="2" t="b">
        <f t="shared" si="23"/>
        <v>0</v>
      </c>
      <c r="N481" t="str">
        <f>VLOOKUP(A481,A480:H1480,8)</f>
        <v>Clothing</v>
      </c>
    </row>
    <row r="482" spans="1:14" x14ac:dyDescent="0.35">
      <c r="A482">
        <v>481</v>
      </c>
      <c r="B482">
        <v>54</v>
      </c>
      <c r="C482" t="s">
        <v>16</v>
      </c>
      <c r="D482">
        <v>105641</v>
      </c>
      <c r="E482">
        <v>17</v>
      </c>
      <c r="F482">
        <v>9</v>
      </c>
      <c r="G482">
        <v>37</v>
      </c>
      <c r="H482" t="s">
        <v>11</v>
      </c>
      <c r="I482">
        <v>173.81</v>
      </c>
      <c r="J482" s="1" t="str">
        <f t="shared" si="21"/>
        <v>valid</v>
      </c>
      <c r="K482" t="e">
        <f t="shared" ca="1" si="22"/>
        <v>#NAME?</v>
      </c>
      <c r="L482" t="str">
        <f>IF(E482&gt;=80,"High Value","Normal")</f>
        <v>Normal</v>
      </c>
      <c r="M482" s="2" t="str">
        <f t="shared" si="23"/>
        <v>YES</v>
      </c>
      <c r="N482" t="str">
        <f>VLOOKUP(A482,A481:H1481,8)</f>
        <v>Sports</v>
      </c>
    </row>
    <row r="483" spans="1:14" x14ac:dyDescent="0.35">
      <c r="A483">
        <v>482</v>
      </c>
      <c r="B483">
        <v>65</v>
      </c>
      <c r="C483" t="s">
        <v>13</v>
      </c>
      <c r="D483">
        <v>120542</v>
      </c>
      <c r="E483">
        <v>52</v>
      </c>
      <c r="F483">
        <v>3</v>
      </c>
      <c r="G483">
        <v>36</v>
      </c>
      <c r="H483" t="s">
        <v>12</v>
      </c>
      <c r="I483">
        <v>70.22</v>
      </c>
      <c r="J483" s="1" t="str">
        <f t="shared" si="21"/>
        <v>valid</v>
      </c>
      <c r="K483" t="e">
        <f t="shared" ca="1" si="22"/>
        <v>#NAME?</v>
      </c>
      <c r="L483" t="str">
        <f>IF(E483&gt;=80,"High Value","Normal")</f>
        <v>Normal</v>
      </c>
      <c r="M483" s="2" t="str">
        <f t="shared" si="23"/>
        <v>YES</v>
      </c>
      <c r="N483" t="str">
        <f>VLOOKUP(A483,A482:H1482,8)</f>
        <v>Clothing</v>
      </c>
    </row>
    <row r="484" spans="1:14" x14ac:dyDescent="0.35">
      <c r="A484">
        <v>483</v>
      </c>
      <c r="B484">
        <v>44</v>
      </c>
      <c r="C484" t="s">
        <v>9</v>
      </c>
      <c r="D484">
        <v>43069</v>
      </c>
      <c r="E484">
        <v>55</v>
      </c>
      <c r="F484">
        <v>6</v>
      </c>
      <c r="G484">
        <v>33</v>
      </c>
      <c r="H484" t="s">
        <v>10</v>
      </c>
      <c r="I484">
        <v>501.34</v>
      </c>
      <c r="J484" s="1" t="str">
        <f t="shared" si="21"/>
        <v>valid</v>
      </c>
      <c r="K484" t="e">
        <f t="shared" ca="1" si="22"/>
        <v>#NAME?</v>
      </c>
      <c r="L484" t="str">
        <f>IF(E484&gt;=80,"High Value","Normal")</f>
        <v>Normal</v>
      </c>
      <c r="M484" s="2" t="str">
        <f t="shared" si="23"/>
        <v>YES</v>
      </c>
      <c r="N484" t="str">
        <f>VLOOKUP(A484,A483:H1483,8)</f>
        <v>Groceries</v>
      </c>
    </row>
    <row r="485" spans="1:14" x14ac:dyDescent="0.35">
      <c r="A485">
        <v>484</v>
      </c>
      <c r="B485">
        <v>40</v>
      </c>
      <c r="C485" t="s">
        <v>16</v>
      </c>
      <c r="D485">
        <v>61052</v>
      </c>
      <c r="E485">
        <v>44</v>
      </c>
      <c r="F485">
        <v>4</v>
      </c>
      <c r="G485">
        <v>17</v>
      </c>
      <c r="H485" t="s">
        <v>10</v>
      </c>
      <c r="I485">
        <v>135.19</v>
      </c>
      <c r="J485" s="1" t="str">
        <f t="shared" si="21"/>
        <v>valid</v>
      </c>
      <c r="K485" t="e">
        <f t="shared" ca="1" si="22"/>
        <v>#NAME?</v>
      </c>
      <c r="L485" t="str">
        <f>IF(E485&gt;=80,"High Value","Normal")</f>
        <v>Normal</v>
      </c>
      <c r="M485" s="2" t="b">
        <f t="shared" si="23"/>
        <v>0</v>
      </c>
      <c r="N485" t="str">
        <f>VLOOKUP(A485,A484:H1484,8)</f>
        <v>Groceries</v>
      </c>
    </row>
    <row r="486" spans="1:14" x14ac:dyDescent="0.35">
      <c r="A486">
        <v>485</v>
      </c>
      <c r="B486">
        <v>65</v>
      </c>
      <c r="C486" t="s">
        <v>16</v>
      </c>
      <c r="D486">
        <v>39113</v>
      </c>
      <c r="E486">
        <v>85</v>
      </c>
      <c r="F486">
        <v>9</v>
      </c>
      <c r="G486">
        <v>42</v>
      </c>
      <c r="H486" t="s">
        <v>14</v>
      </c>
      <c r="I486">
        <v>964.87</v>
      </c>
      <c r="J486" s="1" t="str">
        <f t="shared" si="21"/>
        <v>valid</v>
      </c>
      <c r="K486" t="e">
        <f t="shared" ca="1" si="22"/>
        <v>#NAME?</v>
      </c>
      <c r="L486" t="str">
        <f>IF(E486&gt;=80,"High Value","Normal")</f>
        <v>High Value</v>
      </c>
      <c r="M486" s="2" t="str">
        <f t="shared" si="23"/>
        <v>YES</v>
      </c>
      <c r="N486" t="str">
        <f>VLOOKUP(A486,A485:H1485,8)</f>
        <v>Home &amp; Garden</v>
      </c>
    </row>
    <row r="487" spans="1:14" x14ac:dyDescent="0.35">
      <c r="A487">
        <v>486</v>
      </c>
      <c r="B487">
        <v>66</v>
      </c>
      <c r="C487" t="s">
        <v>13</v>
      </c>
      <c r="D487">
        <v>91672</v>
      </c>
      <c r="E487">
        <v>71</v>
      </c>
      <c r="F487">
        <v>5</v>
      </c>
      <c r="G487">
        <v>9</v>
      </c>
      <c r="H487" t="s">
        <v>12</v>
      </c>
      <c r="I487">
        <v>10.4</v>
      </c>
      <c r="J487" s="1" t="str">
        <f t="shared" si="21"/>
        <v>valid</v>
      </c>
      <c r="K487" t="e">
        <f t="shared" ca="1" si="22"/>
        <v>#NAME?</v>
      </c>
      <c r="L487" t="str">
        <f>IF(E487&gt;=80,"High Value","Normal")</f>
        <v>Normal</v>
      </c>
      <c r="M487" s="2" t="b">
        <f t="shared" si="23"/>
        <v>0</v>
      </c>
      <c r="N487" t="str">
        <f>VLOOKUP(A487,A486:H1486,8)</f>
        <v>Clothing</v>
      </c>
    </row>
    <row r="488" spans="1:14" x14ac:dyDescent="0.35">
      <c r="A488">
        <v>487</v>
      </c>
      <c r="B488">
        <v>22</v>
      </c>
      <c r="C488" t="s">
        <v>9</v>
      </c>
      <c r="D488">
        <v>104781</v>
      </c>
      <c r="E488">
        <v>64</v>
      </c>
      <c r="F488">
        <v>8</v>
      </c>
      <c r="G488">
        <v>38</v>
      </c>
      <c r="H488" t="s">
        <v>14</v>
      </c>
      <c r="I488">
        <v>151.47999999999999</v>
      </c>
      <c r="J488" s="1" t="str">
        <f t="shared" si="21"/>
        <v>valid</v>
      </c>
      <c r="K488" t="e">
        <f t="shared" ca="1" si="22"/>
        <v>#NAME?</v>
      </c>
      <c r="L488" t="str">
        <f>IF(E488&gt;=80,"High Value","Normal")</f>
        <v>Normal</v>
      </c>
      <c r="M488" s="2" t="b">
        <f t="shared" si="23"/>
        <v>0</v>
      </c>
      <c r="N488" t="str">
        <f>VLOOKUP(A488,A487:H1487,8)</f>
        <v>Home &amp; Garden</v>
      </c>
    </row>
    <row r="489" spans="1:14" x14ac:dyDescent="0.35">
      <c r="A489">
        <v>488</v>
      </c>
      <c r="B489">
        <v>47</v>
      </c>
      <c r="C489" t="s">
        <v>13</v>
      </c>
      <c r="D489">
        <v>124597</v>
      </c>
      <c r="E489">
        <v>67</v>
      </c>
      <c r="F489">
        <v>9</v>
      </c>
      <c r="G489">
        <v>8</v>
      </c>
      <c r="H489" t="s">
        <v>12</v>
      </c>
      <c r="I489">
        <v>885.33</v>
      </c>
      <c r="J489" s="1" t="str">
        <f t="shared" si="21"/>
        <v>valid</v>
      </c>
      <c r="K489" t="e">
        <f t="shared" ca="1" si="22"/>
        <v>#NAME?</v>
      </c>
      <c r="L489" t="str">
        <f>IF(E489&gt;=80,"High Value","Normal")</f>
        <v>Normal</v>
      </c>
      <c r="M489" s="2" t="b">
        <f t="shared" si="23"/>
        <v>0</v>
      </c>
      <c r="N489" t="str">
        <f>VLOOKUP(A489,A488:H1488,8)</f>
        <v>Clothing</v>
      </c>
    </row>
    <row r="490" spans="1:14" x14ac:dyDescent="0.35">
      <c r="A490">
        <v>489</v>
      </c>
      <c r="B490">
        <v>26</v>
      </c>
      <c r="C490" t="s">
        <v>9</v>
      </c>
      <c r="D490">
        <v>96845</v>
      </c>
      <c r="E490">
        <v>19</v>
      </c>
      <c r="F490">
        <v>1</v>
      </c>
      <c r="G490">
        <v>5</v>
      </c>
      <c r="H490" t="s">
        <v>14</v>
      </c>
      <c r="I490">
        <v>154.88999999999999</v>
      </c>
      <c r="J490" s="1" t="str">
        <f t="shared" si="21"/>
        <v>valid</v>
      </c>
      <c r="K490" t="e">
        <f t="shared" ca="1" si="22"/>
        <v>#NAME?</v>
      </c>
      <c r="L490" t="str">
        <f>IF(E490&gt;=80,"High Value","Normal")</f>
        <v>Normal</v>
      </c>
      <c r="M490" s="2" t="b">
        <f t="shared" si="23"/>
        <v>0</v>
      </c>
      <c r="N490" t="str">
        <f>VLOOKUP(A490,A489:H1489,8)</f>
        <v>Home &amp; Garden</v>
      </c>
    </row>
    <row r="491" spans="1:14" x14ac:dyDescent="0.35">
      <c r="A491">
        <v>490</v>
      </c>
      <c r="B491">
        <v>19</v>
      </c>
      <c r="C491" t="s">
        <v>9</v>
      </c>
      <c r="D491">
        <v>113254</v>
      </c>
      <c r="E491">
        <v>38</v>
      </c>
      <c r="F491">
        <v>5</v>
      </c>
      <c r="G491">
        <v>35</v>
      </c>
      <c r="H491" t="s">
        <v>12</v>
      </c>
      <c r="I491">
        <v>633.5</v>
      </c>
      <c r="J491" s="1" t="str">
        <f t="shared" si="21"/>
        <v>valid</v>
      </c>
      <c r="K491" t="e">
        <f t="shared" ca="1" si="22"/>
        <v>#NAME?</v>
      </c>
      <c r="L491" t="str">
        <f>IF(E491&gt;=80,"High Value","Normal")</f>
        <v>Normal</v>
      </c>
      <c r="M491" s="2" t="b">
        <f t="shared" si="23"/>
        <v>0</v>
      </c>
      <c r="N491" t="str">
        <f>VLOOKUP(A491,A490:H1490,8)</f>
        <v>Clothing</v>
      </c>
    </row>
    <row r="492" spans="1:14" x14ac:dyDescent="0.35">
      <c r="A492">
        <v>491</v>
      </c>
      <c r="B492">
        <v>22</v>
      </c>
      <c r="C492" t="s">
        <v>9</v>
      </c>
      <c r="D492">
        <v>46900</v>
      </c>
      <c r="E492">
        <v>70</v>
      </c>
      <c r="F492">
        <v>1</v>
      </c>
      <c r="G492">
        <v>24</v>
      </c>
      <c r="H492" t="s">
        <v>10</v>
      </c>
      <c r="I492">
        <v>325.45999999999998</v>
      </c>
      <c r="J492" s="1" t="str">
        <f t="shared" si="21"/>
        <v>valid</v>
      </c>
      <c r="K492" t="e">
        <f t="shared" ca="1" si="22"/>
        <v>#NAME?</v>
      </c>
      <c r="L492" t="str">
        <f>IF(E492&gt;=80,"High Value","Normal")</f>
        <v>Normal</v>
      </c>
      <c r="M492" s="2" t="b">
        <f t="shared" si="23"/>
        <v>0</v>
      </c>
      <c r="N492" t="str">
        <f>VLOOKUP(A492,A491:H1491,8)</f>
        <v>Groceries</v>
      </c>
    </row>
    <row r="493" spans="1:14" x14ac:dyDescent="0.35">
      <c r="A493">
        <v>492</v>
      </c>
      <c r="B493">
        <v>39</v>
      </c>
      <c r="C493" t="s">
        <v>16</v>
      </c>
      <c r="D493">
        <v>84725</v>
      </c>
      <c r="E493">
        <v>100</v>
      </c>
      <c r="F493">
        <v>8</v>
      </c>
      <c r="G493">
        <v>49</v>
      </c>
      <c r="H493" t="s">
        <v>11</v>
      </c>
      <c r="I493">
        <v>906.07</v>
      </c>
      <c r="J493" s="1" t="str">
        <f t="shared" si="21"/>
        <v>valid</v>
      </c>
      <c r="K493" t="e">
        <f t="shared" ca="1" si="22"/>
        <v>#NAME?</v>
      </c>
      <c r="L493" t="str">
        <f>IF(E493&gt;=80,"High Value","Normal")</f>
        <v>High Value</v>
      </c>
      <c r="M493" s="2" t="str">
        <f t="shared" si="23"/>
        <v>YES</v>
      </c>
      <c r="N493" t="str">
        <f>VLOOKUP(A493,A492:H1492,8)</f>
        <v>Sports</v>
      </c>
    </row>
    <row r="494" spans="1:14" x14ac:dyDescent="0.35">
      <c r="A494">
        <v>493</v>
      </c>
      <c r="B494">
        <v>51</v>
      </c>
      <c r="C494" t="s">
        <v>9</v>
      </c>
      <c r="D494">
        <v>120616</v>
      </c>
      <c r="E494">
        <v>71</v>
      </c>
      <c r="F494">
        <v>1</v>
      </c>
      <c r="G494">
        <v>16</v>
      </c>
      <c r="H494" t="s">
        <v>12</v>
      </c>
      <c r="I494">
        <v>542.03</v>
      </c>
      <c r="J494" s="1" t="str">
        <f t="shared" si="21"/>
        <v>valid</v>
      </c>
      <c r="K494" t="e">
        <f t="shared" ca="1" si="22"/>
        <v>#NAME?</v>
      </c>
      <c r="L494" t="str">
        <f>IF(E494&gt;=80,"High Value","Normal")</f>
        <v>Normal</v>
      </c>
      <c r="M494" s="2" t="b">
        <f t="shared" si="23"/>
        <v>0</v>
      </c>
      <c r="N494" t="str">
        <f>VLOOKUP(A494,A493:H1493,8)</f>
        <v>Clothing</v>
      </c>
    </row>
    <row r="495" spans="1:14" x14ac:dyDescent="0.35">
      <c r="A495">
        <v>494</v>
      </c>
      <c r="B495">
        <v>35</v>
      </c>
      <c r="C495" t="s">
        <v>16</v>
      </c>
      <c r="D495">
        <v>141134</v>
      </c>
      <c r="E495">
        <v>24</v>
      </c>
      <c r="F495">
        <v>4</v>
      </c>
      <c r="G495">
        <v>48</v>
      </c>
      <c r="H495" t="s">
        <v>11</v>
      </c>
      <c r="I495">
        <v>649.61</v>
      </c>
      <c r="J495" s="1" t="str">
        <f t="shared" si="21"/>
        <v>valid</v>
      </c>
      <c r="K495" t="e">
        <f t="shared" ca="1" si="22"/>
        <v>#NAME?</v>
      </c>
      <c r="L495" t="str">
        <f>IF(E495&gt;=80,"High Value","Normal")</f>
        <v>Normal</v>
      </c>
      <c r="M495" s="2" t="str">
        <f t="shared" si="23"/>
        <v>YES</v>
      </c>
      <c r="N495" t="str">
        <f>VLOOKUP(A495,A494:H1494,8)</f>
        <v>Sports</v>
      </c>
    </row>
    <row r="496" spans="1:14" x14ac:dyDescent="0.35">
      <c r="A496">
        <v>495</v>
      </c>
      <c r="B496">
        <v>59</v>
      </c>
      <c r="C496" t="s">
        <v>16</v>
      </c>
      <c r="D496">
        <v>140809</v>
      </c>
      <c r="E496">
        <v>45</v>
      </c>
      <c r="F496">
        <v>5</v>
      </c>
      <c r="G496">
        <v>45</v>
      </c>
      <c r="H496" t="s">
        <v>11</v>
      </c>
      <c r="I496">
        <v>917.5</v>
      </c>
      <c r="J496" s="1" t="str">
        <f t="shared" si="21"/>
        <v>valid</v>
      </c>
      <c r="K496" t="e">
        <f t="shared" ca="1" si="22"/>
        <v>#NAME?</v>
      </c>
      <c r="L496" t="str">
        <f>IF(E496&gt;=80,"High Value","Normal")</f>
        <v>Normal</v>
      </c>
      <c r="M496" s="2" t="str">
        <f t="shared" si="23"/>
        <v>YES</v>
      </c>
      <c r="N496" t="str">
        <f>VLOOKUP(A496,A495:H1495,8)</f>
        <v>Sports</v>
      </c>
    </row>
    <row r="497" spans="1:14" x14ac:dyDescent="0.35">
      <c r="A497">
        <v>496</v>
      </c>
      <c r="B497">
        <v>33</v>
      </c>
      <c r="C497" t="s">
        <v>9</v>
      </c>
      <c r="D497">
        <v>65486</v>
      </c>
      <c r="E497">
        <v>76</v>
      </c>
      <c r="F497">
        <v>2</v>
      </c>
      <c r="G497">
        <v>11</v>
      </c>
      <c r="H497" t="s">
        <v>11</v>
      </c>
      <c r="I497">
        <v>302.05</v>
      </c>
      <c r="J497" s="1" t="str">
        <f t="shared" si="21"/>
        <v>valid</v>
      </c>
      <c r="K497" t="e">
        <f t="shared" ca="1" si="22"/>
        <v>#NAME?</v>
      </c>
      <c r="L497" t="str">
        <f>IF(E497&gt;=80,"High Value","Normal")</f>
        <v>Normal</v>
      </c>
      <c r="M497" s="2" t="b">
        <f t="shared" si="23"/>
        <v>0</v>
      </c>
      <c r="N497" t="str">
        <f>VLOOKUP(A497,A496:H1496,8)</f>
        <v>Sports</v>
      </c>
    </row>
    <row r="498" spans="1:14" x14ac:dyDescent="0.35">
      <c r="A498">
        <v>497</v>
      </c>
      <c r="B498">
        <v>56</v>
      </c>
      <c r="C498" t="s">
        <v>16</v>
      </c>
      <c r="D498">
        <v>145254</v>
      </c>
      <c r="E498">
        <v>48</v>
      </c>
      <c r="F498">
        <v>6</v>
      </c>
      <c r="G498">
        <v>43</v>
      </c>
      <c r="H498" t="s">
        <v>11</v>
      </c>
      <c r="I498">
        <v>422.32</v>
      </c>
      <c r="J498" s="1" t="str">
        <f t="shared" si="21"/>
        <v>valid</v>
      </c>
      <c r="K498" t="e">
        <f t="shared" ca="1" si="22"/>
        <v>#NAME?</v>
      </c>
      <c r="L498" t="str">
        <f>IF(E498&gt;=80,"High Value","Normal")</f>
        <v>Normal</v>
      </c>
      <c r="M498" s="2" t="str">
        <f t="shared" si="23"/>
        <v>YES</v>
      </c>
      <c r="N498" t="str">
        <f>VLOOKUP(A498,A497:H1497,8)</f>
        <v>Sports</v>
      </c>
    </row>
    <row r="499" spans="1:14" x14ac:dyDescent="0.35">
      <c r="A499">
        <v>498</v>
      </c>
      <c r="B499">
        <v>54</v>
      </c>
      <c r="C499" t="s">
        <v>9</v>
      </c>
      <c r="D499">
        <v>43308</v>
      </c>
      <c r="E499">
        <v>56</v>
      </c>
      <c r="F499">
        <v>5</v>
      </c>
      <c r="G499">
        <v>50</v>
      </c>
      <c r="H499" t="s">
        <v>15</v>
      </c>
      <c r="I499">
        <v>667.92</v>
      </c>
      <c r="J499" s="1" t="str">
        <f t="shared" si="21"/>
        <v>valid</v>
      </c>
      <c r="K499" t="e">
        <f t="shared" ca="1" si="22"/>
        <v>#NAME?</v>
      </c>
      <c r="L499" t="str">
        <f>IF(E499&gt;=80,"High Value","Normal")</f>
        <v>Normal</v>
      </c>
      <c r="M499" s="2" t="str">
        <f t="shared" si="23"/>
        <v>YES</v>
      </c>
      <c r="N499" t="str">
        <f>VLOOKUP(A499,A498:H1498,8)</f>
        <v>Electronics</v>
      </c>
    </row>
    <row r="500" spans="1:14" x14ac:dyDescent="0.35">
      <c r="A500">
        <v>499</v>
      </c>
      <c r="B500">
        <v>25</v>
      </c>
      <c r="C500" t="s">
        <v>16</v>
      </c>
      <c r="D500">
        <v>33065</v>
      </c>
      <c r="E500">
        <v>61</v>
      </c>
      <c r="F500">
        <v>7</v>
      </c>
      <c r="G500">
        <v>40</v>
      </c>
      <c r="H500" t="s">
        <v>10</v>
      </c>
      <c r="I500">
        <v>317.98</v>
      </c>
      <c r="J500" s="1" t="str">
        <f t="shared" si="21"/>
        <v>valid</v>
      </c>
      <c r="K500" t="e">
        <f t="shared" ca="1" si="22"/>
        <v>#NAME?</v>
      </c>
      <c r="L500" t="str">
        <f>IF(E500&gt;=80,"High Value","Normal")</f>
        <v>Normal</v>
      </c>
      <c r="M500" s="2" t="b">
        <f t="shared" si="23"/>
        <v>0</v>
      </c>
      <c r="N500" t="str">
        <f>VLOOKUP(A500,A499:H1499,8)</f>
        <v>Groceries</v>
      </c>
    </row>
    <row r="501" spans="1:14" x14ac:dyDescent="0.35">
      <c r="A501">
        <v>500</v>
      </c>
      <c r="B501">
        <v>47</v>
      </c>
      <c r="C501" t="s">
        <v>16</v>
      </c>
      <c r="D501">
        <v>69168</v>
      </c>
      <c r="E501">
        <v>16</v>
      </c>
      <c r="F501">
        <v>7</v>
      </c>
      <c r="G501">
        <v>42</v>
      </c>
      <c r="H501" t="s">
        <v>12</v>
      </c>
      <c r="I501">
        <v>638.96</v>
      </c>
      <c r="J501" s="1" t="str">
        <f t="shared" si="21"/>
        <v>valid</v>
      </c>
      <c r="K501" t="e">
        <f t="shared" ca="1" si="22"/>
        <v>#NAME?</v>
      </c>
      <c r="L501" t="str">
        <f>IF(E501&gt;=80,"High Value","Normal")</f>
        <v>Normal</v>
      </c>
      <c r="M501" s="2" t="str">
        <f t="shared" si="23"/>
        <v>YES</v>
      </c>
      <c r="N501" t="str">
        <f>VLOOKUP(A501,A500:H1500,8)</f>
        <v>Clothing</v>
      </c>
    </row>
    <row r="502" spans="1:14" x14ac:dyDescent="0.35">
      <c r="A502">
        <v>501</v>
      </c>
      <c r="B502">
        <v>42</v>
      </c>
      <c r="C502" t="s">
        <v>16</v>
      </c>
      <c r="D502">
        <v>129999</v>
      </c>
      <c r="E502">
        <v>73</v>
      </c>
      <c r="F502">
        <v>5</v>
      </c>
      <c r="G502">
        <v>2</v>
      </c>
      <c r="H502" t="s">
        <v>12</v>
      </c>
      <c r="I502">
        <v>942.97</v>
      </c>
      <c r="J502" s="1" t="str">
        <f t="shared" si="21"/>
        <v>valid</v>
      </c>
      <c r="K502" t="e">
        <f t="shared" ca="1" si="22"/>
        <v>#NAME?</v>
      </c>
      <c r="L502" t="str">
        <f>IF(E502&gt;=80,"High Value","Normal")</f>
        <v>Normal</v>
      </c>
      <c r="M502" s="2" t="b">
        <f t="shared" si="23"/>
        <v>0</v>
      </c>
      <c r="N502" t="str">
        <f>VLOOKUP(A502,A501:H1501,8)</f>
        <v>Clothing</v>
      </c>
    </row>
    <row r="503" spans="1:14" x14ac:dyDescent="0.35">
      <c r="A503">
        <v>502</v>
      </c>
      <c r="B503">
        <v>61</v>
      </c>
      <c r="C503" t="s">
        <v>9</v>
      </c>
      <c r="D503">
        <v>41730</v>
      </c>
      <c r="E503">
        <v>2</v>
      </c>
      <c r="F503">
        <v>9</v>
      </c>
      <c r="G503">
        <v>20</v>
      </c>
      <c r="H503" t="s">
        <v>15</v>
      </c>
      <c r="I503">
        <v>177.64</v>
      </c>
      <c r="J503" s="1" t="str">
        <f t="shared" si="21"/>
        <v>valid</v>
      </c>
      <c r="K503" t="e">
        <f t="shared" ca="1" si="22"/>
        <v>#NAME?</v>
      </c>
      <c r="L503" t="str">
        <f>IF(E503&gt;=80,"High Value","Normal")</f>
        <v>Normal</v>
      </c>
      <c r="M503" s="2" t="b">
        <f t="shared" si="23"/>
        <v>0</v>
      </c>
      <c r="N503" t="str">
        <f>VLOOKUP(A503,A502:H1502,8)</f>
        <v>Electronics</v>
      </c>
    </row>
    <row r="504" spans="1:14" x14ac:dyDescent="0.35">
      <c r="A504">
        <v>503</v>
      </c>
      <c r="B504">
        <v>22</v>
      </c>
      <c r="C504" t="s">
        <v>16</v>
      </c>
      <c r="D504">
        <v>75626</v>
      </c>
      <c r="E504">
        <v>52</v>
      </c>
      <c r="F504">
        <v>7</v>
      </c>
      <c r="G504">
        <v>34</v>
      </c>
      <c r="H504" t="s">
        <v>15</v>
      </c>
      <c r="I504">
        <v>154.66999999999999</v>
      </c>
      <c r="J504" s="1" t="str">
        <f t="shared" si="21"/>
        <v>valid</v>
      </c>
      <c r="K504" t="e">
        <f t="shared" ca="1" si="22"/>
        <v>#NAME?</v>
      </c>
      <c r="L504" t="str">
        <f>IF(E504&gt;=80,"High Value","Normal")</f>
        <v>Normal</v>
      </c>
      <c r="M504" s="2" t="b">
        <f t="shared" si="23"/>
        <v>0</v>
      </c>
      <c r="N504" t="str">
        <f>VLOOKUP(A504,A503:H1503,8)</f>
        <v>Electronics</v>
      </c>
    </row>
    <row r="505" spans="1:14" x14ac:dyDescent="0.35">
      <c r="A505">
        <v>504</v>
      </c>
      <c r="B505">
        <v>18</v>
      </c>
      <c r="C505" t="s">
        <v>13</v>
      </c>
      <c r="D505">
        <v>142641</v>
      </c>
      <c r="E505">
        <v>40</v>
      </c>
      <c r="F505">
        <v>7</v>
      </c>
      <c r="G505">
        <v>31</v>
      </c>
      <c r="H505" t="s">
        <v>15</v>
      </c>
      <c r="I505">
        <v>240.64</v>
      </c>
      <c r="J505" s="1" t="str">
        <f t="shared" si="21"/>
        <v>valid</v>
      </c>
      <c r="K505" t="e">
        <f t="shared" ca="1" si="22"/>
        <v>#NAME?</v>
      </c>
      <c r="L505" t="str">
        <f>IF(E505&gt;=80,"High Value","Normal")</f>
        <v>Normal</v>
      </c>
      <c r="M505" s="2" t="b">
        <f t="shared" si="23"/>
        <v>0</v>
      </c>
      <c r="N505" t="str">
        <f>VLOOKUP(A505,A504:H1504,8)</f>
        <v>Electronics</v>
      </c>
    </row>
    <row r="506" spans="1:14" x14ac:dyDescent="0.35">
      <c r="A506">
        <v>505</v>
      </c>
      <c r="B506">
        <v>22</v>
      </c>
      <c r="C506" t="s">
        <v>16</v>
      </c>
      <c r="D506">
        <v>53863</v>
      </c>
      <c r="E506">
        <v>96</v>
      </c>
      <c r="F506">
        <v>10</v>
      </c>
      <c r="G506">
        <v>41</v>
      </c>
      <c r="H506" t="s">
        <v>15</v>
      </c>
      <c r="I506">
        <v>491.64</v>
      </c>
      <c r="J506" s="1" t="str">
        <f t="shared" si="21"/>
        <v>valid</v>
      </c>
      <c r="K506" t="e">
        <f t="shared" ca="1" si="22"/>
        <v>#NAME?</v>
      </c>
      <c r="L506" t="str">
        <f>IF(E506&gt;=80,"High Value","Normal")</f>
        <v>High Value</v>
      </c>
      <c r="M506" s="2" t="b">
        <f t="shared" si="23"/>
        <v>0</v>
      </c>
      <c r="N506" t="str">
        <f>VLOOKUP(A506,A505:H1505,8)</f>
        <v>Electronics</v>
      </c>
    </row>
    <row r="507" spans="1:14" x14ac:dyDescent="0.35">
      <c r="A507">
        <v>506</v>
      </c>
      <c r="B507">
        <v>66</v>
      </c>
      <c r="C507" t="s">
        <v>16</v>
      </c>
      <c r="D507">
        <v>149505</v>
      </c>
      <c r="E507">
        <v>79</v>
      </c>
      <c r="F507">
        <v>4</v>
      </c>
      <c r="G507">
        <v>8</v>
      </c>
      <c r="H507" t="s">
        <v>11</v>
      </c>
      <c r="I507">
        <v>334.95</v>
      </c>
      <c r="J507" s="1" t="str">
        <f t="shared" si="21"/>
        <v>valid</v>
      </c>
      <c r="K507" t="e">
        <f t="shared" ca="1" si="22"/>
        <v>#NAME?</v>
      </c>
      <c r="L507" t="str">
        <f>IF(E507&gt;=80,"High Value","Normal")</f>
        <v>Normal</v>
      </c>
      <c r="M507" s="2" t="b">
        <f t="shared" si="23"/>
        <v>0</v>
      </c>
      <c r="N507" t="str">
        <f>VLOOKUP(A507,A506:H1506,8)</f>
        <v>Sports</v>
      </c>
    </row>
    <row r="508" spans="1:14" x14ac:dyDescent="0.35">
      <c r="A508">
        <v>507</v>
      </c>
      <c r="B508">
        <v>58</v>
      </c>
      <c r="C508" t="s">
        <v>16</v>
      </c>
      <c r="D508">
        <v>132215</v>
      </c>
      <c r="E508">
        <v>91</v>
      </c>
      <c r="F508">
        <v>8</v>
      </c>
      <c r="G508">
        <v>6</v>
      </c>
      <c r="H508" t="s">
        <v>11</v>
      </c>
      <c r="I508">
        <v>275.70999999999998</v>
      </c>
      <c r="J508" s="1" t="str">
        <f t="shared" si="21"/>
        <v>valid</v>
      </c>
      <c r="K508" t="e">
        <f t="shared" ca="1" si="22"/>
        <v>#NAME?</v>
      </c>
      <c r="L508" t="str">
        <f>IF(E508&gt;=80,"High Value","Normal")</f>
        <v>High Value</v>
      </c>
      <c r="M508" s="2" t="b">
        <f t="shared" si="23"/>
        <v>0</v>
      </c>
      <c r="N508" t="str">
        <f>VLOOKUP(A508,A507:H1507,8)</f>
        <v>Sports</v>
      </c>
    </row>
    <row r="509" spans="1:14" x14ac:dyDescent="0.35">
      <c r="A509">
        <v>508</v>
      </c>
      <c r="B509">
        <v>48</v>
      </c>
      <c r="C509" t="s">
        <v>13</v>
      </c>
      <c r="D509">
        <v>72108</v>
      </c>
      <c r="E509">
        <v>85</v>
      </c>
      <c r="F509">
        <v>8</v>
      </c>
      <c r="G509">
        <v>13</v>
      </c>
      <c r="H509" t="s">
        <v>11</v>
      </c>
      <c r="I509">
        <v>486.58</v>
      </c>
      <c r="J509" s="1" t="str">
        <f t="shared" si="21"/>
        <v>valid</v>
      </c>
      <c r="K509" t="e">
        <f t="shared" ca="1" si="22"/>
        <v>#NAME?</v>
      </c>
      <c r="L509" t="str">
        <f>IF(E509&gt;=80,"High Value","Normal")</f>
        <v>High Value</v>
      </c>
      <c r="M509" s="2" t="b">
        <f t="shared" si="23"/>
        <v>0</v>
      </c>
      <c r="N509" t="str">
        <f>VLOOKUP(A509,A508:H1508,8)</f>
        <v>Sports</v>
      </c>
    </row>
    <row r="510" spans="1:14" x14ac:dyDescent="0.35">
      <c r="A510">
        <v>509</v>
      </c>
      <c r="B510">
        <v>68</v>
      </c>
      <c r="C510" t="s">
        <v>13</v>
      </c>
      <c r="D510">
        <v>113760</v>
      </c>
      <c r="E510">
        <v>64</v>
      </c>
      <c r="F510">
        <v>2</v>
      </c>
      <c r="G510">
        <v>37</v>
      </c>
      <c r="H510" t="s">
        <v>11</v>
      </c>
      <c r="I510">
        <v>462.62</v>
      </c>
      <c r="J510" s="1" t="str">
        <f t="shared" si="21"/>
        <v>valid</v>
      </c>
      <c r="K510" t="e">
        <f t="shared" ca="1" si="22"/>
        <v>#NAME?</v>
      </c>
      <c r="L510" t="str">
        <f>IF(E510&gt;=80,"High Value","Normal")</f>
        <v>Normal</v>
      </c>
      <c r="M510" s="2" t="str">
        <f t="shared" si="23"/>
        <v>YES</v>
      </c>
      <c r="N510" t="str">
        <f>VLOOKUP(A510,A509:H1509,8)</f>
        <v>Sports</v>
      </c>
    </row>
    <row r="511" spans="1:14" x14ac:dyDescent="0.35">
      <c r="A511">
        <v>510</v>
      </c>
      <c r="B511">
        <v>19</v>
      </c>
      <c r="C511" t="s">
        <v>16</v>
      </c>
      <c r="D511">
        <v>111238</v>
      </c>
      <c r="E511">
        <v>7</v>
      </c>
      <c r="F511">
        <v>2</v>
      </c>
      <c r="G511">
        <v>30</v>
      </c>
      <c r="H511" t="s">
        <v>11</v>
      </c>
      <c r="I511">
        <v>813.37</v>
      </c>
      <c r="J511" s="1" t="str">
        <f t="shared" si="21"/>
        <v>valid</v>
      </c>
      <c r="K511" t="e">
        <f t="shared" ca="1" si="22"/>
        <v>#NAME?</v>
      </c>
      <c r="L511" t="str">
        <f>IF(E511&gt;=80,"High Value","Normal")</f>
        <v>Normal</v>
      </c>
      <c r="M511" s="2" t="b">
        <f t="shared" si="23"/>
        <v>0</v>
      </c>
      <c r="N511" t="str">
        <f>VLOOKUP(A511,A510:H1510,8)</f>
        <v>Sports</v>
      </c>
    </row>
    <row r="512" spans="1:14" x14ac:dyDescent="0.35">
      <c r="A512">
        <v>511</v>
      </c>
      <c r="B512">
        <v>24</v>
      </c>
      <c r="C512" t="s">
        <v>13</v>
      </c>
      <c r="D512">
        <v>109039</v>
      </c>
      <c r="E512">
        <v>71</v>
      </c>
      <c r="F512">
        <v>9</v>
      </c>
      <c r="G512">
        <v>41</v>
      </c>
      <c r="H512" t="s">
        <v>11</v>
      </c>
      <c r="I512">
        <v>606.17999999999995</v>
      </c>
      <c r="J512" s="1" t="str">
        <f t="shared" si="21"/>
        <v>valid</v>
      </c>
      <c r="K512" t="e">
        <f t="shared" ca="1" si="22"/>
        <v>#NAME?</v>
      </c>
      <c r="L512" t="str">
        <f>IF(E512&gt;=80,"High Value","Normal")</f>
        <v>Normal</v>
      </c>
      <c r="M512" s="2" t="b">
        <f t="shared" si="23"/>
        <v>0</v>
      </c>
      <c r="N512" t="str">
        <f>VLOOKUP(A512,A511:H1511,8)</f>
        <v>Sports</v>
      </c>
    </row>
    <row r="513" spans="1:14" x14ac:dyDescent="0.35">
      <c r="A513">
        <v>512</v>
      </c>
      <c r="B513">
        <v>33</v>
      </c>
      <c r="C513" t="s">
        <v>16</v>
      </c>
      <c r="D513">
        <v>132968</v>
      </c>
      <c r="E513">
        <v>49</v>
      </c>
      <c r="F513">
        <v>10</v>
      </c>
      <c r="G513">
        <v>45</v>
      </c>
      <c r="H513" t="s">
        <v>11</v>
      </c>
      <c r="I513">
        <v>641.53</v>
      </c>
      <c r="J513" s="1" t="str">
        <f t="shared" si="21"/>
        <v>valid</v>
      </c>
      <c r="K513" t="e">
        <f t="shared" ca="1" si="22"/>
        <v>#NAME?</v>
      </c>
      <c r="L513" t="str">
        <f>IF(E513&gt;=80,"High Value","Normal")</f>
        <v>Normal</v>
      </c>
      <c r="M513" s="2" t="str">
        <f t="shared" si="23"/>
        <v>YES</v>
      </c>
      <c r="N513" t="str">
        <f>VLOOKUP(A513,A512:H1512,8)</f>
        <v>Sports</v>
      </c>
    </row>
    <row r="514" spans="1:14" x14ac:dyDescent="0.35">
      <c r="A514">
        <v>513</v>
      </c>
      <c r="B514">
        <v>19</v>
      </c>
      <c r="C514" t="s">
        <v>16</v>
      </c>
      <c r="D514">
        <v>82506</v>
      </c>
      <c r="E514">
        <v>10</v>
      </c>
      <c r="F514">
        <v>5</v>
      </c>
      <c r="G514">
        <v>41</v>
      </c>
      <c r="H514" t="s">
        <v>11</v>
      </c>
      <c r="I514">
        <v>406.32</v>
      </c>
      <c r="J514" s="1" t="str">
        <f t="shared" si="21"/>
        <v>valid</v>
      </c>
      <c r="K514" t="e">
        <f t="shared" ca="1" si="22"/>
        <v>#NAME?</v>
      </c>
      <c r="L514" t="str">
        <f>IF(E514&gt;=80,"High Value","Normal")</f>
        <v>Normal</v>
      </c>
      <c r="M514" s="2" t="b">
        <f t="shared" si="23"/>
        <v>0</v>
      </c>
      <c r="N514" t="str">
        <f>VLOOKUP(A514,A513:H1513,8)</f>
        <v>Sports</v>
      </c>
    </row>
    <row r="515" spans="1:14" x14ac:dyDescent="0.35">
      <c r="A515">
        <v>514</v>
      </c>
      <c r="B515">
        <v>69</v>
      </c>
      <c r="C515" t="s">
        <v>9</v>
      </c>
      <c r="D515">
        <v>58668</v>
      </c>
      <c r="E515">
        <v>40</v>
      </c>
      <c r="F515">
        <v>2</v>
      </c>
      <c r="G515">
        <v>15</v>
      </c>
      <c r="H515" t="s">
        <v>14</v>
      </c>
      <c r="I515">
        <v>626.35</v>
      </c>
      <c r="J515" s="1" t="str">
        <f t="shared" ref="J515:J578" si="24">IF(AND(B515&gt;=18, B515&lt;=100), "valid", "invalid")</f>
        <v>valid</v>
      </c>
      <c r="K515" t="e">
        <f t="shared" ref="K515:K578" ca="1" si="25">IFS(OR(C515= "Female",C515="female",C515= "F"), "Female", OR(C515="Male", C515="male",C515= "M"), "Male", TRUE, "Other")</f>
        <v>#NAME?</v>
      </c>
      <c r="L515" t="str">
        <f>IF(E515&gt;=80,"High Value","Normal")</f>
        <v>Normal</v>
      </c>
      <c r="M515" s="2" t="b">
        <f t="shared" ref="M515:M578" si="26">IF(AND(B515&gt;30,G515&gt;20), "YES")</f>
        <v>0</v>
      </c>
      <c r="N515" t="str">
        <f>VLOOKUP(A515,A514:H1514,8)</f>
        <v>Home &amp; Garden</v>
      </c>
    </row>
    <row r="516" spans="1:14" x14ac:dyDescent="0.35">
      <c r="A516">
        <v>515</v>
      </c>
      <c r="B516">
        <v>28</v>
      </c>
      <c r="C516" t="s">
        <v>16</v>
      </c>
      <c r="D516">
        <v>66961</v>
      </c>
      <c r="E516">
        <v>8</v>
      </c>
      <c r="F516">
        <v>10</v>
      </c>
      <c r="G516">
        <v>22</v>
      </c>
      <c r="H516" t="s">
        <v>10</v>
      </c>
      <c r="I516">
        <v>179.82</v>
      </c>
      <c r="J516" s="1" t="str">
        <f t="shared" si="24"/>
        <v>valid</v>
      </c>
      <c r="K516" t="e">
        <f t="shared" ca="1" si="25"/>
        <v>#NAME?</v>
      </c>
      <c r="L516" t="str">
        <f>IF(E516&gt;=80,"High Value","Normal")</f>
        <v>Normal</v>
      </c>
      <c r="M516" s="2" t="b">
        <f t="shared" si="26"/>
        <v>0</v>
      </c>
      <c r="N516" t="str">
        <f>VLOOKUP(A516,A515:H1515,8)</f>
        <v>Groceries</v>
      </c>
    </row>
    <row r="517" spans="1:14" x14ac:dyDescent="0.35">
      <c r="A517">
        <v>516</v>
      </c>
      <c r="B517">
        <v>32</v>
      </c>
      <c r="C517" t="s">
        <v>13</v>
      </c>
      <c r="D517">
        <v>137280</v>
      </c>
      <c r="E517">
        <v>95</v>
      </c>
      <c r="F517">
        <v>6</v>
      </c>
      <c r="G517">
        <v>3</v>
      </c>
      <c r="H517" t="s">
        <v>15</v>
      </c>
      <c r="I517">
        <v>31.72</v>
      </c>
      <c r="J517" s="1" t="str">
        <f t="shared" si="24"/>
        <v>valid</v>
      </c>
      <c r="K517" t="e">
        <f t="shared" ca="1" si="25"/>
        <v>#NAME?</v>
      </c>
      <c r="L517" t="str">
        <f>IF(E517&gt;=80,"High Value","Normal")</f>
        <v>High Value</v>
      </c>
      <c r="M517" s="2" t="b">
        <f t="shared" si="26"/>
        <v>0</v>
      </c>
      <c r="N517" t="str">
        <f>VLOOKUP(A517,A516:H1516,8)</f>
        <v>Electronics</v>
      </c>
    </row>
    <row r="518" spans="1:14" x14ac:dyDescent="0.35">
      <c r="A518">
        <v>517</v>
      </c>
      <c r="B518">
        <v>18</v>
      </c>
      <c r="C518" t="s">
        <v>13</v>
      </c>
      <c r="D518">
        <v>112021</v>
      </c>
      <c r="E518">
        <v>9</v>
      </c>
      <c r="F518">
        <v>3</v>
      </c>
      <c r="G518">
        <v>11</v>
      </c>
      <c r="H518" t="s">
        <v>10</v>
      </c>
      <c r="I518">
        <v>588.37</v>
      </c>
      <c r="J518" s="1" t="str">
        <f t="shared" si="24"/>
        <v>valid</v>
      </c>
      <c r="K518" t="e">
        <f t="shared" ca="1" si="25"/>
        <v>#NAME?</v>
      </c>
      <c r="L518" t="str">
        <f>IF(E518&gt;=80,"High Value","Normal")</f>
        <v>Normal</v>
      </c>
      <c r="M518" s="2" t="b">
        <f t="shared" si="26"/>
        <v>0</v>
      </c>
      <c r="N518" t="str">
        <f>VLOOKUP(A518,A517:H1517,8)</f>
        <v>Groceries</v>
      </c>
    </row>
    <row r="519" spans="1:14" x14ac:dyDescent="0.35">
      <c r="A519">
        <v>518</v>
      </c>
      <c r="B519">
        <v>45</v>
      </c>
      <c r="C519" t="s">
        <v>9</v>
      </c>
      <c r="D519">
        <v>110280</v>
      </c>
      <c r="E519">
        <v>85</v>
      </c>
      <c r="F519">
        <v>4</v>
      </c>
      <c r="G519">
        <v>21</v>
      </c>
      <c r="H519" t="s">
        <v>10</v>
      </c>
      <c r="I519">
        <v>944.07</v>
      </c>
      <c r="J519" s="1" t="str">
        <f t="shared" si="24"/>
        <v>valid</v>
      </c>
      <c r="K519" t="e">
        <f t="shared" ca="1" si="25"/>
        <v>#NAME?</v>
      </c>
      <c r="L519" t="str">
        <f>IF(E519&gt;=80,"High Value","Normal")</f>
        <v>High Value</v>
      </c>
      <c r="M519" s="2" t="str">
        <f t="shared" si="26"/>
        <v>YES</v>
      </c>
      <c r="N519" t="str">
        <f>VLOOKUP(A519,A518:H1518,8)</f>
        <v>Groceries</v>
      </c>
    </row>
    <row r="520" spans="1:14" x14ac:dyDescent="0.35">
      <c r="A520">
        <v>519</v>
      </c>
      <c r="B520">
        <v>45</v>
      </c>
      <c r="C520" t="s">
        <v>9</v>
      </c>
      <c r="D520">
        <v>67753</v>
      </c>
      <c r="E520">
        <v>64</v>
      </c>
      <c r="F520">
        <v>4</v>
      </c>
      <c r="G520">
        <v>48</v>
      </c>
      <c r="H520" t="s">
        <v>11</v>
      </c>
      <c r="I520">
        <v>926.69</v>
      </c>
      <c r="J520" s="1" t="str">
        <f t="shared" si="24"/>
        <v>valid</v>
      </c>
      <c r="K520" t="e">
        <f t="shared" ca="1" si="25"/>
        <v>#NAME?</v>
      </c>
      <c r="L520" t="str">
        <f>IF(E520&gt;=80,"High Value","Normal")</f>
        <v>Normal</v>
      </c>
      <c r="M520" s="2" t="str">
        <f t="shared" si="26"/>
        <v>YES</v>
      </c>
      <c r="N520" t="str">
        <f>VLOOKUP(A520,A519:H1519,8)</f>
        <v>Sports</v>
      </c>
    </row>
    <row r="521" spans="1:14" x14ac:dyDescent="0.35">
      <c r="A521">
        <v>520</v>
      </c>
      <c r="B521">
        <v>38</v>
      </c>
      <c r="C521" t="s">
        <v>16</v>
      </c>
      <c r="D521">
        <v>54918</v>
      </c>
      <c r="E521">
        <v>1</v>
      </c>
      <c r="F521">
        <v>6</v>
      </c>
      <c r="G521">
        <v>6</v>
      </c>
      <c r="H521" t="s">
        <v>15</v>
      </c>
      <c r="I521">
        <v>979.26</v>
      </c>
      <c r="J521" s="1" t="str">
        <f t="shared" si="24"/>
        <v>valid</v>
      </c>
      <c r="K521" t="e">
        <f t="shared" ca="1" si="25"/>
        <v>#NAME?</v>
      </c>
      <c r="L521" t="str">
        <f>IF(E521&gt;=80,"High Value","Normal")</f>
        <v>Normal</v>
      </c>
      <c r="M521" s="2" t="b">
        <f t="shared" si="26"/>
        <v>0</v>
      </c>
      <c r="N521" t="str">
        <f>VLOOKUP(A521,A520:H1520,8)</f>
        <v>Electronics</v>
      </c>
    </row>
    <row r="522" spans="1:14" x14ac:dyDescent="0.35">
      <c r="A522">
        <v>521</v>
      </c>
      <c r="B522">
        <v>69</v>
      </c>
      <c r="C522" t="s">
        <v>13</v>
      </c>
      <c r="D522">
        <v>78534</v>
      </c>
      <c r="E522">
        <v>100</v>
      </c>
      <c r="F522">
        <v>2</v>
      </c>
      <c r="G522">
        <v>9</v>
      </c>
      <c r="H522" t="s">
        <v>14</v>
      </c>
      <c r="I522">
        <v>75.03</v>
      </c>
      <c r="J522" s="1" t="str">
        <f t="shared" si="24"/>
        <v>valid</v>
      </c>
      <c r="K522" t="e">
        <f t="shared" ca="1" si="25"/>
        <v>#NAME?</v>
      </c>
      <c r="L522" t="str">
        <f>IF(E522&gt;=80,"High Value","Normal")</f>
        <v>High Value</v>
      </c>
      <c r="M522" s="2" t="b">
        <f t="shared" si="26"/>
        <v>0</v>
      </c>
      <c r="N522" t="str">
        <f>VLOOKUP(A522,A521:H1521,8)</f>
        <v>Home &amp; Garden</v>
      </c>
    </row>
    <row r="523" spans="1:14" x14ac:dyDescent="0.35">
      <c r="A523">
        <v>522</v>
      </c>
      <c r="B523">
        <v>29</v>
      </c>
      <c r="C523" t="s">
        <v>9</v>
      </c>
      <c r="D523">
        <v>51471</v>
      </c>
      <c r="E523">
        <v>96</v>
      </c>
      <c r="F523">
        <v>3</v>
      </c>
      <c r="G523">
        <v>13</v>
      </c>
      <c r="H523" t="s">
        <v>14</v>
      </c>
      <c r="I523">
        <v>668.21</v>
      </c>
      <c r="J523" s="1" t="str">
        <f t="shared" si="24"/>
        <v>valid</v>
      </c>
      <c r="K523" t="e">
        <f t="shared" ca="1" si="25"/>
        <v>#NAME?</v>
      </c>
      <c r="L523" t="str">
        <f>IF(E523&gt;=80,"High Value","Normal")</f>
        <v>High Value</v>
      </c>
      <c r="M523" s="2" t="b">
        <f t="shared" si="26"/>
        <v>0</v>
      </c>
      <c r="N523" t="str">
        <f>VLOOKUP(A523,A522:H1522,8)</f>
        <v>Home &amp; Garden</v>
      </c>
    </row>
    <row r="524" spans="1:14" x14ac:dyDescent="0.35">
      <c r="A524">
        <v>523</v>
      </c>
      <c r="B524">
        <v>32</v>
      </c>
      <c r="C524" t="s">
        <v>9</v>
      </c>
      <c r="D524">
        <v>58144</v>
      </c>
      <c r="E524">
        <v>4</v>
      </c>
      <c r="F524">
        <v>5</v>
      </c>
      <c r="G524">
        <v>16</v>
      </c>
      <c r="H524" t="s">
        <v>15</v>
      </c>
      <c r="I524">
        <v>923.37</v>
      </c>
      <c r="J524" s="1" t="str">
        <f t="shared" si="24"/>
        <v>valid</v>
      </c>
      <c r="K524" t="e">
        <f t="shared" ca="1" si="25"/>
        <v>#NAME?</v>
      </c>
      <c r="L524" t="str">
        <f>IF(E524&gt;=80,"High Value","Normal")</f>
        <v>Normal</v>
      </c>
      <c r="M524" s="2" t="b">
        <f t="shared" si="26"/>
        <v>0</v>
      </c>
      <c r="N524" t="str">
        <f>VLOOKUP(A524,A523:H1523,8)</f>
        <v>Electronics</v>
      </c>
    </row>
    <row r="525" spans="1:14" x14ac:dyDescent="0.35">
      <c r="A525">
        <v>524</v>
      </c>
      <c r="B525">
        <v>47</v>
      </c>
      <c r="C525" t="s">
        <v>13</v>
      </c>
      <c r="D525">
        <v>100338</v>
      </c>
      <c r="E525">
        <v>13</v>
      </c>
      <c r="F525">
        <v>9</v>
      </c>
      <c r="G525">
        <v>40</v>
      </c>
      <c r="H525" t="s">
        <v>15</v>
      </c>
      <c r="I525">
        <v>48.65</v>
      </c>
      <c r="J525" s="1" t="str">
        <f t="shared" si="24"/>
        <v>valid</v>
      </c>
      <c r="K525" t="e">
        <f t="shared" ca="1" si="25"/>
        <v>#NAME?</v>
      </c>
      <c r="L525" t="str">
        <f>IF(E525&gt;=80,"High Value","Normal")</f>
        <v>Normal</v>
      </c>
      <c r="M525" s="2" t="str">
        <f t="shared" si="26"/>
        <v>YES</v>
      </c>
      <c r="N525" t="str">
        <f>VLOOKUP(A525,A524:H1524,8)</f>
        <v>Electronics</v>
      </c>
    </row>
    <row r="526" spans="1:14" x14ac:dyDescent="0.35">
      <c r="A526">
        <v>525</v>
      </c>
      <c r="B526">
        <v>33</v>
      </c>
      <c r="C526" t="s">
        <v>9</v>
      </c>
      <c r="D526">
        <v>90232</v>
      </c>
      <c r="E526">
        <v>19</v>
      </c>
      <c r="F526">
        <v>2</v>
      </c>
      <c r="G526">
        <v>8</v>
      </c>
      <c r="H526" t="s">
        <v>12</v>
      </c>
      <c r="I526">
        <v>255.08</v>
      </c>
      <c r="J526" s="1" t="str">
        <f t="shared" si="24"/>
        <v>valid</v>
      </c>
      <c r="K526" t="e">
        <f t="shared" ca="1" si="25"/>
        <v>#NAME?</v>
      </c>
      <c r="L526" t="str">
        <f>IF(E526&gt;=80,"High Value","Normal")</f>
        <v>Normal</v>
      </c>
      <c r="M526" s="2" t="b">
        <f t="shared" si="26"/>
        <v>0</v>
      </c>
      <c r="N526" t="str">
        <f>VLOOKUP(A526,A525:H1525,8)</f>
        <v>Clothing</v>
      </c>
    </row>
    <row r="527" spans="1:14" x14ac:dyDescent="0.35">
      <c r="A527">
        <v>526</v>
      </c>
      <c r="B527">
        <v>52</v>
      </c>
      <c r="C527" t="s">
        <v>16</v>
      </c>
      <c r="D527">
        <v>133701</v>
      </c>
      <c r="E527">
        <v>64</v>
      </c>
      <c r="F527">
        <v>1</v>
      </c>
      <c r="G527">
        <v>34</v>
      </c>
      <c r="H527" t="s">
        <v>12</v>
      </c>
      <c r="I527">
        <v>534.25</v>
      </c>
      <c r="J527" s="1" t="str">
        <f t="shared" si="24"/>
        <v>valid</v>
      </c>
      <c r="K527" t="e">
        <f t="shared" ca="1" si="25"/>
        <v>#NAME?</v>
      </c>
      <c r="L527" t="str">
        <f>IF(E527&gt;=80,"High Value","Normal")</f>
        <v>Normal</v>
      </c>
      <c r="M527" s="2" t="str">
        <f t="shared" si="26"/>
        <v>YES</v>
      </c>
      <c r="N527" t="str">
        <f>VLOOKUP(A527,A526:H1526,8)</f>
        <v>Clothing</v>
      </c>
    </row>
    <row r="528" spans="1:14" x14ac:dyDescent="0.35">
      <c r="A528">
        <v>527</v>
      </c>
      <c r="B528">
        <v>62</v>
      </c>
      <c r="C528" t="s">
        <v>9</v>
      </c>
      <c r="D528">
        <v>117704</v>
      </c>
      <c r="E528">
        <v>37</v>
      </c>
      <c r="F528">
        <v>3</v>
      </c>
      <c r="G528">
        <v>48</v>
      </c>
      <c r="H528" t="s">
        <v>11</v>
      </c>
      <c r="I528">
        <v>112.11</v>
      </c>
      <c r="J528" s="1" t="str">
        <f t="shared" si="24"/>
        <v>valid</v>
      </c>
      <c r="K528" t="e">
        <f t="shared" ca="1" si="25"/>
        <v>#NAME?</v>
      </c>
      <c r="L528" t="str">
        <f>IF(E528&gt;=80,"High Value","Normal")</f>
        <v>Normal</v>
      </c>
      <c r="M528" s="2" t="str">
        <f t="shared" si="26"/>
        <v>YES</v>
      </c>
      <c r="N528" t="str">
        <f>VLOOKUP(A528,A527:H1527,8)</f>
        <v>Sports</v>
      </c>
    </row>
    <row r="529" spans="1:14" x14ac:dyDescent="0.35">
      <c r="A529">
        <v>528</v>
      </c>
      <c r="B529">
        <v>23</v>
      </c>
      <c r="C529" t="s">
        <v>9</v>
      </c>
      <c r="D529">
        <v>144577</v>
      </c>
      <c r="E529">
        <v>75</v>
      </c>
      <c r="F529">
        <v>1</v>
      </c>
      <c r="G529">
        <v>9</v>
      </c>
      <c r="H529" t="s">
        <v>12</v>
      </c>
      <c r="I529">
        <v>826.02</v>
      </c>
      <c r="J529" s="1" t="str">
        <f t="shared" si="24"/>
        <v>valid</v>
      </c>
      <c r="K529" t="e">
        <f t="shared" ca="1" si="25"/>
        <v>#NAME?</v>
      </c>
      <c r="L529" t="str">
        <f>IF(E529&gt;=80,"High Value","Normal")</f>
        <v>Normal</v>
      </c>
      <c r="M529" s="2" t="b">
        <f t="shared" si="26"/>
        <v>0</v>
      </c>
      <c r="N529" t="str">
        <f>VLOOKUP(A529,A528:H1528,8)</f>
        <v>Clothing</v>
      </c>
    </row>
    <row r="530" spans="1:14" x14ac:dyDescent="0.35">
      <c r="A530">
        <v>529</v>
      </c>
      <c r="B530">
        <v>57</v>
      </c>
      <c r="C530" t="s">
        <v>16</v>
      </c>
      <c r="D530">
        <v>139366</v>
      </c>
      <c r="E530">
        <v>39</v>
      </c>
      <c r="F530">
        <v>5</v>
      </c>
      <c r="G530">
        <v>50</v>
      </c>
      <c r="H530" t="s">
        <v>11</v>
      </c>
      <c r="I530">
        <v>34.5</v>
      </c>
      <c r="J530" s="1" t="str">
        <f t="shared" si="24"/>
        <v>valid</v>
      </c>
      <c r="K530" t="e">
        <f t="shared" ca="1" si="25"/>
        <v>#NAME?</v>
      </c>
      <c r="L530" t="str">
        <f>IF(E530&gt;=80,"High Value","Normal")</f>
        <v>Normal</v>
      </c>
      <c r="M530" s="2" t="str">
        <f t="shared" si="26"/>
        <v>YES</v>
      </c>
      <c r="N530" t="str">
        <f>VLOOKUP(A530,A529:H1529,8)</f>
        <v>Sports</v>
      </c>
    </row>
    <row r="531" spans="1:14" x14ac:dyDescent="0.35">
      <c r="A531">
        <v>530</v>
      </c>
      <c r="B531">
        <v>27</v>
      </c>
      <c r="C531" t="s">
        <v>16</v>
      </c>
      <c r="D531">
        <v>106944</v>
      </c>
      <c r="E531">
        <v>63</v>
      </c>
      <c r="F531">
        <v>1</v>
      </c>
      <c r="G531">
        <v>28</v>
      </c>
      <c r="H531" t="s">
        <v>11</v>
      </c>
      <c r="I531">
        <v>36.39</v>
      </c>
      <c r="J531" s="1" t="str">
        <f t="shared" si="24"/>
        <v>valid</v>
      </c>
      <c r="K531" t="e">
        <f t="shared" ca="1" si="25"/>
        <v>#NAME?</v>
      </c>
      <c r="L531" t="str">
        <f>IF(E531&gt;=80,"High Value","Normal")</f>
        <v>Normal</v>
      </c>
      <c r="M531" s="2" t="b">
        <f t="shared" si="26"/>
        <v>0</v>
      </c>
      <c r="N531" t="str">
        <f>VLOOKUP(A531,A530:H1530,8)</f>
        <v>Sports</v>
      </c>
    </row>
    <row r="532" spans="1:14" x14ac:dyDescent="0.35">
      <c r="A532">
        <v>531</v>
      </c>
      <c r="B532">
        <v>61</v>
      </c>
      <c r="C532" t="s">
        <v>16</v>
      </c>
      <c r="D532">
        <v>92031</v>
      </c>
      <c r="E532">
        <v>44</v>
      </c>
      <c r="F532">
        <v>7</v>
      </c>
      <c r="G532">
        <v>11</v>
      </c>
      <c r="H532" t="s">
        <v>11</v>
      </c>
      <c r="I532">
        <v>573.30999999999995</v>
      </c>
      <c r="J532" s="1" t="str">
        <f t="shared" si="24"/>
        <v>valid</v>
      </c>
      <c r="K532" t="e">
        <f t="shared" ca="1" si="25"/>
        <v>#NAME?</v>
      </c>
      <c r="L532" t="str">
        <f>IF(E532&gt;=80,"High Value","Normal")</f>
        <v>Normal</v>
      </c>
      <c r="M532" s="2" t="b">
        <f t="shared" si="26"/>
        <v>0</v>
      </c>
      <c r="N532" t="str">
        <f>VLOOKUP(A532,A531:H1531,8)</f>
        <v>Sports</v>
      </c>
    </row>
    <row r="533" spans="1:14" x14ac:dyDescent="0.35">
      <c r="A533">
        <v>532</v>
      </c>
      <c r="B533">
        <v>19</v>
      </c>
      <c r="C533" t="s">
        <v>16</v>
      </c>
      <c r="D533">
        <v>146165</v>
      </c>
      <c r="E533">
        <v>38</v>
      </c>
      <c r="F533">
        <v>9</v>
      </c>
      <c r="G533">
        <v>45</v>
      </c>
      <c r="H533" t="s">
        <v>14</v>
      </c>
      <c r="I533">
        <v>819.92</v>
      </c>
      <c r="J533" s="1" t="str">
        <f t="shared" si="24"/>
        <v>valid</v>
      </c>
      <c r="K533" t="e">
        <f t="shared" ca="1" si="25"/>
        <v>#NAME?</v>
      </c>
      <c r="L533" t="str">
        <f>IF(E533&gt;=80,"High Value","Normal")</f>
        <v>Normal</v>
      </c>
      <c r="M533" s="2" t="b">
        <f t="shared" si="26"/>
        <v>0</v>
      </c>
      <c r="N533" t="str">
        <f>VLOOKUP(A533,A532:H1532,8)</f>
        <v>Home &amp; Garden</v>
      </c>
    </row>
    <row r="534" spans="1:14" x14ac:dyDescent="0.35">
      <c r="A534">
        <v>533</v>
      </c>
      <c r="B534">
        <v>36</v>
      </c>
      <c r="C534" t="s">
        <v>13</v>
      </c>
      <c r="D534">
        <v>113794</v>
      </c>
      <c r="E534">
        <v>74</v>
      </c>
      <c r="F534">
        <v>1</v>
      </c>
      <c r="G534">
        <v>27</v>
      </c>
      <c r="H534" t="s">
        <v>11</v>
      </c>
      <c r="I534">
        <v>377.75</v>
      </c>
      <c r="J534" s="1" t="str">
        <f t="shared" si="24"/>
        <v>valid</v>
      </c>
      <c r="K534" t="e">
        <f t="shared" ca="1" si="25"/>
        <v>#NAME?</v>
      </c>
      <c r="L534" t="str">
        <f>IF(E534&gt;=80,"High Value","Normal")</f>
        <v>Normal</v>
      </c>
      <c r="M534" s="2" t="str">
        <f t="shared" si="26"/>
        <v>YES</v>
      </c>
      <c r="N534" t="str">
        <f>VLOOKUP(A534,A533:H1533,8)</f>
        <v>Sports</v>
      </c>
    </row>
    <row r="535" spans="1:14" x14ac:dyDescent="0.35">
      <c r="A535">
        <v>534</v>
      </c>
      <c r="B535">
        <v>28</v>
      </c>
      <c r="C535" t="s">
        <v>16</v>
      </c>
      <c r="D535">
        <v>121073</v>
      </c>
      <c r="E535">
        <v>44</v>
      </c>
      <c r="F535">
        <v>3</v>
      </c>
      <c r="G535">
        <v>16</v>
      </c>
      <c r="H535" t="s">
        <v>11</v>
      </c>
      <c r="I535">
        <v>482.35</v>
      </c>
      <c r="J535" s="1" t="str">
        <f t="shared" si="24"/>
        <v>valid</v>
      </c>
      <c r="K535" t="e">
        <f t="shared" ca="1" si="25"/>
        <v>#NAME?</v>
      </c>
      <c r="L535" t="str">
        <f>IF(E535&gt;=80,"High Value","Normal")</f>
        <v>Normal</v>
      </c>
      <c r="M535" s="2" t="b">
        <f t="shared" si="26"/>
        <v>0</v>
      </c>
      <c r="N535" t="str">
        <f>VLOOKUP(A535,A534:H1534,8)</f>
        <v>Sports</v>
      </c>
    </row>
    <row r="536" spans="1:14" x14ac:dyDescent="0.35">
      <c r="A536">
        <v>535</v>
      </c>
      <c r="B536">
        <v>46</v>
      </c>
      <c r="C536" t="s">
        <v>13</v>
      </c>
      <c r="D536">
        <v>61090</v>
      </c>
      <c r="E536">
        <v>3</v>
      </c>
      <c r="F536">
        <v>4</v>
      </c>
      <c r="G536">
        <v>3</v>
      </c>
      <c r="H536" t="s">
        <v>11</v>
      </c>
      <c r="I536">
        <v>213.68</v>
      </c>
      <c r="J536" s="1" t="str">
        <f t="shared" si="24"/>
        <v>valid</v>
      </c>
      <c r="K536" t="e">
        <f t="shared" ca="1" si="25"/>
        <v>#NAME?</v>
      </c>
      <c r="L536" t="str">
        <f>IF(E536&gt;=80,"High Value","Normal")</f>
        <v>Normal</v>
      </c>
      <c r="M536" s="2" t="b">
        <f t="shared" si="26"/>
        <v>0</v>
      </c>
      <c r="N536" t="str">
        <f>VLOOKUP(A536,A535:H1535,8)</f>
        <v>Sports</v>
      </c>
    </row>
    <row r="537" spans="1:14" x14ac:dyDescent="0.35">
      <c r="A537">
        <v>536</v>
      </c>
      <c r="B537">
        <v>62</v>
      </c>
      <c r="C537" t="s">
        <v>9</v>
      </c>
      <c r="D537">
        <v>74474</v>
      </c>
      <c r="E537">
        <v>49</v>
      </c>
      <c r="F537">
        <v>2</v>
      </c>
      <c r="G537">
        <v>18</v>
      </c>
      <c r="H537" t="s">
        <v>11</v>
      </c>
      <c r="I537">
        <v>933.65</v>
      </c>
      <c r="J537" s="1" t="str">
        <f t="shared" si="24"/>
        <v>valid</v>
      </c>
      <c r="K537" t="e">
        <f t="shared" ca="1" si="25"/>
        <v>#NAME?</v>
      </c>
      <c r="L537" t="str">
        <f>IF(E537&gt;=80,"High Value","Normal")</f>
        <v>Normal</v>
      </c>
      <c r="M537" s="2" t="b">
        <f t="shared" si="26"/>
        <v>0</v>
      </c>
      <c r="N537" t="str">
        <f>VLOOKUP(A537,A536:H1536,8)</f>
        <v>Sports</v>
      </c>
    </row>
    <row r="538" spans="1:14" x14ac:dyDescent="0.35">
      <c r="A538">
        <v>537</v>
      </c>
      <c r="B538">
        <v>48</v>
      </c>
      <c r="C538" t="s">
        <v>9</v>
      </c>
      <c r="D538">
        <v>57932</v>
      </c>
      <c r="E538">
        <v>70</v>
      </c>
      <c r="F538">
        <v>9</v>
      </c>
      <c r="G538">
        <v>44</v>
      </c>
      <c r="H538" t="s">
        <v>14</v>
      </c>
      <c r="I538">
        <v>192.46</v>
      </c>
      <c r="J538" s="1" t="str">
        <f t="shared" si="24"/>
        <v>valid</v>
      </c>
      <c r="K538" t="e">
        <f t="shared" ca="1" si="25"/>
        <v>#NAME?</v>
      </c>
      <c r="L538" t="str">
        <f>IF(E538&gt;=80,"High Value","Normal")</f>
        <v>Normal</v>
      </c>
      <c r="M538" s="2" t="str">
        <f t="shared" si="26"/>
        <v>YES</v>
      </c>
      <c r="N538" t="str">
        <f>VLOOKUP(A538,A537:H1537,8)</f>
        <v>Home &amp; Garden</v>
      </c>
    </row>
    <row r="539" spans="1:14" x14ac:dyDescent="0.35">
      <c r="A539">
        <v>538</v>
      </c>
      <c r="B539">
        <v>39</v>
      </c>
      <c r="C539" t="s">
        <v>16</v>
      </c>
      <c r="D539">
        <v>49970</v>
      </c>
      <c r="E539">
        <v>53</v>
      </c>
      <c r="F539">
        <v>5</v>
      </c>
      <c r="G539">
        <v>24</v>
      </c>
      <c r="H539" t="s">
        <v>10</v>
      </c>
      <c r="I539">
        <v>728.58</v>
      </c>
      <c r="J539" s="1" t="str">
        <f t="shared" si="24"/>
        <v>valid</v>
      </c>
      <c r="K539" t="e">
        <f t="shared" ca="1" si="25"/>
        <v>#NAME?</v>
      </c>
      <c r="L539" t="str">
        <f>IF(E539&gt;=80,"High Value","Normal")</f>
        <v>Normal</v>
      </c>
      <c r="M539" s="2" t="str">
        <f t="shared" si="26"/>
        <v>YES</v>
      </c>
      <c r="N539" t="str">
        <f>VLOOKUP(A539,A538:H1538,8)</f>
        <v>Groceries</v>
      </c>
    </row>
    <row r="540" spans="1:14" x14ac:dyDescent="0.35">
      <c r="A540">
        <v>539</v>
      </c>
      <c r="B540">
        <v>27</v>
      </c>
      <c r="C540" t="s">
        <v>16</v>
      </c>
      <c r="D540">
        <v>73823</v>
      </c>
      <c r="E540">
        <v>11</v>
      </c>
      <c r="F540">
        <v>8</v>
      </c>
      <c r="G540">
        <v>23</v>
      </c>
      <c r="H540" t="s">
        <v>15</v>
      </c>
      <c r="I540">
        <v>27.4</v>
      </c>
      <c r="J540" s="1" t="str">
        <f t="shared" si="24"/>
        <v>valid</v>
      </c>
      <c r="K540" t="e">
        <f t="shared" ca="1" si="25"/>
        <v>#NAME?</v>
      </c>
      <c r="L540" t="str">
        <f>IF(E540&gt;=80,"High Value","Normal")</f>
        <v>Normal</v>
      </c>
      <c r="M540" s="2" t="b">
        <f t="shared" si="26"/>
        <v>0</v>
      </c>
      <c r="N540" t="str">
        <f>VLOOKUP(A540,A539:H1539,8)</f>
        <v>Electronics</v>
      </c>
    </row>
    <row r="541" spans="1:14" x14ac:dyDescent="0.35">
      <c r="A541">
        <v>540</v>
      </c>
      <c r="B541">
        <v>36</v>
      </c>
      <c r="C541" t="s">
        <v>16</v>
      </c>
      <c r="D541">
        <v>37595</v>
      </c>
      <c r="E541">
        <v>88</v>
      </c>
      <c r="F541">
        <v>8</v>
      </c>
      <c r="G541">
        <v>49</v>
      </c>
      <c r="H541" t="s">
        <v>10</v>
      </c>
      <c r="I541">
        <v>600.48</v>
      </c>
      <c r="J541" s="1" t="str">
        <f t="shared" si="24"/>
        <v>valid</v>
      </c>
      <c r="K541" t="e">
        <f t="shared" ca="1" si="25"/>
        <v>#NAME?</v>
      </c>
      <c r="L541" t="str">
        <f>IF(E541&gt;=80,"High Value","Normal")</f>
        <v>High Value</v>
      </c>
      <c r="M541" s="2" t="str">
        <f t="shared" si="26"/>
        <v>YES</v>
      </c>
      <c r="N541" t="str">
        <f>VLOOKUP(A541,A540:H1540,8)</f>
        <v>Groceries</v>
      </c>
    </row>
    <row r="542" spans="1:14" x14ac:dyDescent="0.35">
      <c r="A542">
        <v>541</v>
      </c>
      <c r="B542">
        <v>33</v>
      </c>
      <c r="C542" t="s">
        <v>9</v>
      </c>
      <c r="D542">
        <v>103063</v>
      </c>
      <c r="E542">
        <v>16</v>
      </c>
      <c r="F542">
        <v>3</v>
      </c>
      <c r="G542">
        <v>4</v>
      </c>
      <c r="H542" t="s">
        <v>15</v>
      </c>
      <c r="I542">
        <v>998.51</v>
      </c>
      <c r="J542" s="1" t="str">
        <f t="shared" si="24"/>
        <v>valid</v>
      </c>
      <c r="K542" t="e">
        <f t="shared" ca="1" si="25"/>
        <v>#NAME?</v>
      </c>
      <c r="L542" t="str">
        <f>IF(E542&gt;=80,"High Value","Normal")</f>
        <v>Normal</v>
      </c>
      <c r="M542" s="2" t="b">
        <f t="shared" si="26"/>
        <v>0</v>
      </c>
      <c r="N542" t="str">
        <f>VLOOKUP(A542,A541:H1541,8)</f>
        <v>Electronics</v>
      </c>
    </row>
    <row r="543" spans="1:14" x14ac:dyDescent="0.35">
      <c r="A543">
        <v>542</v>
      </c>
      <c r="B543">
        <v>69</v>
      </c>
      <c r="C543" t="s">
        <v>13</v>
      </c>
      <c r="D543">
        <v>86860</v>
      </c>
      <c r="E543">
        <v>70</v>
      </c>
      <c r="F543">
        <v>1</v>
      </c>
      <c r="G543">
        <v>1</v>
      </c>
      <c r="H543" t="s">
        <v>12</v>
      </c>
      <c r="I543">
        <v>812.25</v>
      </c>
      <c r="J543" s="1" t="str">
        <f t="shared" si="24"/>
        <v>valid</v>
      </c>
      <c r="K543" t="e">
        <f t="shared" ca="1" si="25"/>
        <v>#NAME?</v>
      </c>
      <c r="L543" t="str">
        <f>IF(E543&gt;=80,"High Value","Normal")</f>
        <v>Normal</v>
      </c>
      <c r="M543" s="2" t="b">
        <f t="shared" si="26"/>
        <v>0</v>
      </c>
      <c r="N543" t="str">
        <f>VLOOKUP(A543,A542:H1542,8)</f>
        <v>Clothing</v>
      </c>
    </row>
    <row r="544" spans="1:14" x14ac:dyDescent="0.35">
      <c r="A544">
        <v>543</v>
      </c>
      <c r="B544">
        <v>68</v>
      </c>
      <c r="C544" t="s">
        <v>9</v>
      </c>
      <c r="D544">
        <v>40478</v>
      </c>
      <c r="E544">
        <v>22</v>
      </c>
      <c r="F544">
        <v>4</v>
      </c>
      <c r="G544">
        <v>46</v>
      </c>
      <c r="H544" t="s">
        <v>10</v>
      </c>
      <c r="I544">
        <v>954.91</v>
      </c>
      <c r="J544" s="1" t="str">
        <f t="shared" si="24"/>
        <v>valid</v>
      </c>
      <c r="K544" t="e">
        <f t="shared" ca="1" si="25"/>
        <v>#NAME?</v>
      </c>
      <c r="L544" t="str">
        <f>IF(E544&gt;=80,"High Value","Normal")</f>
        <v>Normal</v>
      </c>
      <c r="M544" s="2" t="str">
        <f t="shared" si="26"/>
        <v>YES</v>
      </c>
      <c r="N544" t="str">
        <f>VLOOKUP(A544,A543:H1543,8)</f>
        <v>Groceries</v>
      </c>
    </row>
    <row r="545" spans="1:14" x14ac:dyDescent="0.35">
      <c r="A545">
        <v>544</v>
      </c>
      <c r="B545">
        <v>66</v>
      </c>
      <c r="C545" t="s">
        <v>9</v>
      </c>
      <c r="D545">
        <v>126893</v>
      </c>
      <c r="E545">
        <v>3</v>
      </c>
      <c r="F545">
        <v>1</v>
      </c>
      <c r="G545">
        <v>32</v>
      </c>
      <c r="H545" t="s">
        <v>12</v>
      </c>
      <c r="I545">
        <v>199.17</v>
      </c>
      <c r="J545" s="1" t="str">
        <f t="shared" si="24"/>
        <v>valid</v>
      </c>
      <c r="K545" t="e">
        <f t="shared" ca="1" si="25"/>
        <v>#NAME?</v>
      </c>
      <c r="L545" t="str">
        <f>IF(E545&gt;=80,"High Value","Normal")</f>
        <v>Normal</v>
      </c>
      <c r="M545" s="2" t="str">
        <f t="shared" si="26"/>
        <v>YES</v>
      </c>
      <c r="N545" t="str">
        <f>VLOOKUP(A545,A544:H1544,8)</f>
        <v>Clothing</v>
      </c>
    </row>
    <row r="546" spans="1:14" x14ac:dyDescent="0.35">
      <c r="A546">
        <v>545</v>
      </c>
      <c r="B546">
        <v>23</v>
      </c>
      <c r="C546" t="s">
        <v>9</v>
      </c>
      <c r="D546">
        <v>123168</v>
      </c>
      <c r="E546">
        <v>80</v>
      </c>
      <c r="F546">
        <v>4</v>
      </c>
      <c r="G546">
        <v>19</v>
      </c>
      <c r="H546" t="s">
        <v>12</v>
      </c>
      <c r="I546">
        <v>860.95</v>
      </c>
      <c r="J546" s="1" t="str">
        <f t="shared" si="24"/>
        <v>valid</v>
      </c>
      <c r="K546" t="e">
        <f t="shared" ca="1" si="25"/>
        <v>#NAME?</v>
      </c>
      <c r="L546" t="str">
        <f>IF(E546&gt;=80,"High Value","Normal")</f>
        <v>High Value</v>
      </c>
      <c r="M546" s="2" t="b">
        <f t="shared" si="26"/>
        <v>0</v>
      </c>
      <c r="N546" t="str">
        <f>VLOOKUP(A546,A545:H1545,8)</f>
        <v>Clothing</v>
      </c>
    </row>
    <row r="547" spans="1:14" x14ac:dyDescent="0.35">
      <c r="A547">
        <v>546</v>
      </c>
      <c r="B547">
        <v>44</v>
      </c>
      <c r="C547" t="s">
        <v>13</v>
      </c>
      <c r="D547">
        <v>112137</v>
      </c>
      <c r="E547">
        <v>37</v>
      </c>
      <c r="F547">
        <v>7</v>
      </c>
      <c r="G547">
        <v>18</v>
      </c>
      <c r="H547" t="s">
        <v>10</v>
      </c>
      <c r="I547">
        <v>769.16</v>
      </c>
      <c r="J547" s="1" t="str">
        <f t="shared" si="24"/>
        <v>valid</v>
      </c>
      <c r="K547" t="e">
        <f t="shared" ca="1" si="25"/>
        <v>#NAME?</v>
      </c>
      <c r="L547" t="str">
        <f>IF(E547&gt;=80,"High Value","Normal")</f>
        <v>Normal</v>
      </c>
      <c r="M547" s="2" t="b">
        <f t="shared" si="26"/>
        <v>0</v>
      </c>
      <c r="N547" t="str">
        <f>VLOOKUP(A547,A546:H1546,8)</f>
        <v>Groceries</v>
      </c>
    </row>
    <row r="548" spans="1:14" x14ac:dyDescent="0.35">
      <c r="A548">
        <v>547</v>
      </c>
      <c r="B548">
        <v>60</v>
      </c>
      <c r="C548" t="s">
        <v>13</v>
      </c>
      <c r="D548">
        <v>108533</v>
      </c>
      <c r="E548">
        <v>23</v>
      </c>
      <c r="F548">
        <v>9</v>
      </c>
      <c r="G548">
        <v>24</v>
      </c>
      <c r="H548" t="s">
        <v>15</v>
      </c>
      <c r="I548">
        <v>506.98</v>
      </c>
      <c r="J548" s="1" t="str">
        <f t="shared" si="24"/>
        <v>valid</v>
      </c>
      <c r="K548" t="e">
        <f t="shared" ca="1" si="25"/>
        <v>#NAME?</v>
      </c>
      <c r="L548" t="str">
        <f>IF(E548&gt;=80,"High Value","Normal")</f>
        <v>Normal</v>
      </c>
      <c r="M548" s="2" t="str">
        <f t="shared" si="26"/>
        <v>YES</v>
      </c>
      <c r="N548" t="str">
        <f>VLOOKUP(A548,A547:H1547,8)</f>
        <v>Electronics</v>
      </c>
    </row>
    <row r="549" spans="1:14" x14ac:dyDescent="0.35">
      <c r="A549">
        <v>548</v>
      </c>
      <c r="B549">
        <v>22</v>
      </c>
      <c r="C549" t="s">
        <v>9</v>
      </c>
      <c r="D549">
        <v>93861</v>
      </c>
      <c r="E549">
        <v>42</v>
      </c>
      <c r="F549">
        <v>6</v>
      </c>
      <c r="G549">
        <v>6</v>
      </c>
      <c r="H549" t="s">
        <v>14</v>
      </c>
      <c r="I549">
        <v>73.13</v>
      </c>
      <c r="J549" s="1" t="str">
        <f t="shared" si="24"/>
        <v>valid</v>
      </c>
      <c r="K549" t="e">
        <f t="shared" ca="1" si="25"/>
        <v>#NAME?</v>
      </c>
      <c r="L549" t="str">
        <f>IF(E549&gt;=80,"High Value","Normal")</f>
        <v>Normal</v>
      </c>
      <c r="M549" s="2" t="b">
        <f t="shared" si="26"/>
        <v>0</v>
      </c>
      <c r="N549" t="str">
        <f>VLOOKUP(A549,A548:H1548,8)</f>
        <v>Home &amp; Garden</v>
      </c>
    </row>
    <row r="550" spans="1:14" x14ac:dyDescent="0.35">
      <c r="A550">
        <v>549</v>
      </c>
      <c r="B550">
        <v>39</v>
      </c>
      <c r="C550" t="s">
        <v>16</v>
      </c>
      <c r="D550">
        <v>30004</v>
      </c>
      <c r="E550">
        <v>32</v>
      </c>
      <c r="F550">
        <v>6</v>
      </c>
      <c r="G550">
        <v>48</v>
      </c>
      <c r="H550" t="s">
        <v>11</v>
      </c>
      <c r="I550">
        <v>863.47</v>
      </c>
      <c r="J550" s="1" t="str">
        <f t="shared" si="24"/>
        <v>valid</v>
      </c>
      <c r="K550" t="e">
        <f t="shared" ca="1" si="25"/>
        <v>#NAME?</v>
      </c>
      <c r="L550" t="str">
        <f>IF(E550&gt;=80,"High Value","Normal")</f>
        <v>Normal</v>
      </c>
      <c r="M550" s="2" t="str">
        <f t="shared" si="26"/>
        <v>YES</v>
      </c>
      <c r="N550" t="str">
        <f>VLOOKUP(A550,A549:H1549,8)</f>
        <v>Sports</v>
      </c>
    </row>
    <row r="551" spans="1:14" x14ac:dyDescent="0.35">
      <c r="A551">
        <v>550</v>
      </c>
      <c r="B551">
        <v>53</v>
      </c>
      <c r="C551" t="s">
        <v>16</v>
      </c>
      <c r="D551">
        <v>47499</v>
      </c>
      <c r="E551">
        <v>85</v>
      </c>
      <c r="F551">
        <v>2</v>
      </c>
      <c r="G551">
        <v>45</v>
      </c>
      <c r="H551" t="s">
        <v>11</v>
      </c>
      <c r="I551">
        <v>338.69</v>
      </c>
      <c r="J551" s="1" t="str">
        <f t="shared" si="24"/>
        <v>valid</v>
      </c>
      <c r="K551" t="e">
        <f t="shared" ca="1" si="25"/>
        <v>#NAME?</v>
      </c>
      <c r="L551" t="str">
        <f>IF(E551&gt;=80,"High Value","Normal")</f>
        <v>High Value</v>
      </c>
      <c r="M551" s="2" t="str">
        <f t="shared" si="26"/>
        <v>YES</v>
      </c>
      <c r="N551" t="str">
        <f>VLOOKUP(A551,A550:H1550,8)</f>
        <v>Sports</v>
      </c>
    </row>
    <row r="552" spans="1:14" x14ac:dyDescent="0.35">
      <c r="A552">
        <v>551</v>
      </c>
      <c r="B552">
        <v>50</v>
      </c>
      <c r="C552" t="s">
        <v>16</v>
      </c>
      <c r="D552">
        <v>43965</v>
      </c>
      <c r="E552">
        <v>83</v>
      </c>
      <c r="F552">
        <v>3</v>
      </c>
      <c r="G552">
        <v>17</v>
      </c>
      <c r="H552" t="s">
        <v>15</v>
      </c>
      <c r="I552">
        <v>83.38</v>
      </c>
      <c r="J552" s="1" t="str">
        <f t="shared" si="24"/>
        <v>valid</v>
      </c>
      <c r="K552" t="e">
        <f t="shared" ca="1" si="25"/>
        <v>#NAME?</v>
      </c>
      <c r="L552" t="str">
        <f>IF(E552&gt;=80,"High Value","Normal")</f>
        <v>High Value</v>
      </c>
      <c r="M552" s="2" t="b">
        <f t="shared" si="26"/>
        <v>0</v>
      </c>
      <c r="N552" t="str">
        <f>VLOOKUP(A552,A551:H1551,8)</f>
        <v>Electronics</v>
      </c>
    </row>
    <row r="553" spans="1:14" x14ac:dyDescent="0.35">
      <c r="A553">
        <v>552</v>
      </c>
      <c r="B553">
        <v>20</v>
      </c>
      <c r="C553" t="s">
        <v>16</v>
      </c>
      <c r="D553">
        <v>51199</v>
      </c>
      <c r="E553">
        <v>100</v>
      </c>
      <c r="F553">
        <v>5</v>
      </c>
      <c r="G553">
        <v>5</v>
      </c>
      <c r="H553" t="s">
        <v>12</v>
      </c>
      <c r="I553">
        <v>889.83</v>
      </c>
      <c r="J553" s="1" t="str">
        <f t="shared" si="24"/>
        <v>valid</v>
      </c>
      <c r="K553" t="e">
        <f t="shared" ca="1" si="25"/>
        <v>#NAME?</v>
      </c>
      <c r="L553" t="str">
        <f>IF(E553&gt;=80,"High Value","Normal")</f>
        <v>High Value</v>
      </c>
      <c r="M553" s="2" t="b">
        <f t="shared" si="26"/>
        <v>0</v>
      </c>
      <c r="N553" t="str">
        <f>VLOOKUP(A553,A552:H1552,8)</f>
        <v>Clothing</v>
      </c>
    </row>
    <row r="554" spans="1:14" x14ac:dyDescent="0.35">
      <c r="A554">
        <v>553</v>
      </c>
      <c r="B554">
        <v>69</v>
      </c>
      <c r="C554" t="s">
        <v>16</v>
      </c>
      <c r="D554">
        <v>51759</v>
      </c>
      <c r="E554">
        <v>18</v>
      </c>
      <c r="F554">
        <v>9</v>
      </c>
      <c r="G554">
        <v>14</v>
      </c>
      <c r="H554" t="s">
        <v>11</v>
      </c>
      <c r="I554">
        <v>563.48</v>
      </c>
      <c r="J554" s="1" t="str">
        <f t="shared" si="24"/>
        <v>valid</v>
      </c>
      <c r="K554" t="e">
        <f t="shared" ca="1" si="25"/>
        <v>#NAME?</v>
      </c>
      <c r="L554" t="str">
        <f>IF(E554&gt;=80,"High Value","Normal")</f>
        <v>Normal</v>
      </c>
      <c r="M554" s="2" t="b">
        <f t="shared" si="26"/>
        <v>0</v>
      </c>
      <c r="N554" t="str">
        <f>VLOOKUP(A554,A553:H1553,8)</f>
        <v>Sports</v>
      </c>
    </row>
    <row r="555" spans="1:14" x14ac:dyDescent="0.35">
      <c r="A555">
        <v>554</v>
      </c>
      <c r="B555">
        <v>61</v>
      </c>
      <c r="C555" t="s">
        <v>9</v>
      </c>
      <c r="D555">
        <v>54256</v>
      </c>
      <c r="E555">
        <v>78</v>
      </c>
      <c r="F555">
        <v>3</v>
      </c>
      <c r="G555">
        <v>3</v>
      </c>
      <c r="H555" t="s">
        <v>14</v>
      </c>
      <c r="I555">
        <v>886.44</v>
      </c>
      <c r="J555" s="1" t="str">
        <f t="shared" si="24"/>
        <v>valid</v>
      </c>
      <c r="K555" t="e">
        <f t="shared" ca="1" si="25"/>
        <v>#NAME?</v>
      </c>
      <c r="L555" t="str">
        <f>IF(E555&gt;=80,"High Value","Normal")</f>
        <v>Normal</v>
      </c>
      <c r="M555" s="2" t="b">
        <f t="shared" si="26"/>
        <v>0</v>
      </c>
      <c r="N555" t="str">
        <f>VLOOKUP(A555,A554:H1554,8)</f>
        <v>Home &amp; Garden</v>
      </c>
    </row>
    <row r="556" spans="1:14" x14ac:dyDescent="0.35">
      <c r="A556">
        <v>555</v>
      </c>
      <c r="B556">
        <v>66</v>
      </c>
      <c r="C556" t="s">
        <v>13</v>
      </c>
      <c r="D556">
        <v>53345</v>
      </c>
      <c r="E556">
        <v>100</v>
      </c>
      <c r="F556">
        <v>4</v>
      </c>
      <c r="G556">
        <v>22</v>
      </c>
      <c r="H556" t="s">
        <v>11</v>
      </c>
      <c r="I556">
        <v>221.75</v>
      </c>
      <c r="J556" s="1" t="str">
        <f t="shared" si="24"/>
        <v>valid</v>
      </c>
      <c r="K556" t="e">
        <f t="shared" ca="1" si="25"/>
        <v>#NAME?</v>
      </c>
      <c r="L556" t="str">
        <f>IF(E556&gt;=80,"High Value","Normal")</f>
        <v>High Value</v>
      </c>
      <c r="M556" s="2" t="str">
        <f t="shared" si="26"/>
        <v>YES</v>
      </c>
      <c r="N556" t="str">
        <f>VLOOKUP(A556,A555:H1555,8)</f>
        <v>Sports</v>
      </c>
    </row>
    <row r="557" spans="1:14" x14ac:dyDescent="0.35">
      <c r="A557">
        <v>556</v>
      </c>
      <c r="B557">
        <v>25</v>
      </c>
      <c r="C557" t="s">
        <v>9</v>
      </c>
      <c r="D557">
        <v>52403</v>
      </c>
      <c r="E557">
        <v>53</v>
      </c>
      <c r="F557">
        <v>1</v>
      </c>
      <c r="G557">
        <v>14</v>
      </c>
      <c r="H557" t="s">
        <v>10</v>
      </c>
      <c r="I557">
        <v>73.34</v>
      </c>
      <c r="J557" s="1" t="str">
        <f t="shared" si="24"/>
        <v>valid</v>
      </c>
      <c r="K557" t="e">
        <f t="shared" ca="1" si="25"/>
        <v>#NAME?</v>
      </c>
      <c r="L557" t="str">
        <f>IF(E557&gt;=80,"High Value","Normal")</f>
        <v>Normal</v>
      </c>
      <c r="M557" s="2" t="b">
        <f t="shared" si="26"/>
        <v>0</v>
      </c>
      <c r="N557" t="str">
        <f>VLOOKUP(A557,A556:H1556,8)</f>
        <v>Groceries</v>
      </c>
    </row>
    <row r="558" spans="1:14" x14ac:dyDescent="0.35">
      <c r="A558">
        <v>557</v>
      </c>
      <c r="B558">
        <v>45</v>
      </c>
      <c r="C558" t="s">
        <v>16</v>
      </c>
      <c r="D558">
        <v>95367</v>
      </c>
      <c r="E558">
        <v>83</v>
      </c>
      <c r="F558">
        <v>5</v>
      </c>
      <c r="G558">
        <v>30</v>
      </c>
      <c r="H558" t="s">
        <v>14</v>
      </c>
      <c r="I558">
        <v>845.33</v>
      </c>
      <c r="J558" s="1" t="str">
        <f t="shared" si="24"/>
        <v>valid</v>
      </c>
      <c r="K558" t="e">
        <f t="shared" ca="1" si="25"/>
        <v>#NAME?</v>
      </c>
      <c r="L558" t="str">
        <f>IF(E558&gt;=80,"High Value","Normal")</f>
        <v>High Value</v>
      </c>
      <c r="M558" s="2" t="str">
        <f t="shared" si="26"/>
        <v>YES</v>
      </c>
      <c r="N558" t="str">
        <f>VLOOKUP(A558,A557:H1557,8)</f>
        <v>Home &amp; Garden</v>
      </c>
    </row>
    <row r="559" spans="1:14" x14ac:dyDescent="0.35">
      <c r="A559">
        <v>558</v>
      </c>
      <c r="B559">
        <v>40</v>
      </c>
      <c r="C559" t="s">
        <v>16</v>
      </c>
      <c r="D559">
        <v>62536</v>
      </c>
      <c r="E559">
        <v>84</v>
      </c>
      <c r="F559">
        <v>4</v>
      </c>
      <c r="G559">
        <v>28</v>
      </c>
      <c r="H559" t="s">
        <v>11</v>
      </c>
      <c r="I559">
        <v>149.07</v>
      </c>
      <c r="J559" s="1" t="str">
        <f t="shared" si="24"/>
        <v>valid</v>
      </c>
      <c r="K559" t="e">
        <f t="shared" ca="1" si="25"/>
        <v>#NAME?</v>
      </c>
      <c r="L559" t="str">
        <f>IF(E559&gt;=80,"High Value","Normal")</f>
        <v>High Value</v>
      </c>
      <c r="M559" s="2" t="str">
        <f t="shared" si="26"/>
        <v>YES</v>
      </c>
      <c r="N559" t="str">
        <f>VLOOKUP(A559,A558:H1558,8)</f>
        <v>Sports</v>
      </c>
    </row>
    <row r="560" spans="1:14" x14ac:dyDescent="0.35">
      <c r="A560">
        <v>559</v>
      </c>
      <c r="B560">
        <v>33</v>
      </c>
      <c r="C560" t="s">
        <v>16</v>
      </c>
      <c r="D560">
        <v>121639</v>
      </c>
      <c r="E560">
        <v>17</v>
      </c>
      <c r="F560">
        <v>7</v>
      </c>
      <c r="G560">
        <v>28</v>
      </c>
      <c r="H560" t="s">
        <v>14</v>
      </c>
      <c r="I560">
        <v>422.14</v>
      </c>
      <c r="J560" s="1" t="str">
        <f t="shared" si="24"/>
        <v>valid</v>
      </c>
      <c r="K560" t="e">
        <f t="shared" ca="1" si="25"/>
        <v>#NAME?</v>
      </c>
      <c r="L560" t="str">
        <f>IF(E560&gt;=80,"High Value","Normal")</f>
        <v>Normal</v>
      </c>
      <c r="M560" s="2" t="str">
        <f t="shared" si="26"/>
        <v>YES</v>
      </c>
      <c r="N560" t="str">
        <f>VLOOKUP(A560,A559:H1559,8)</f>
        <v>Home &amp; Garden</v>
      </c>
    </row>
    <row r="561" spans="1:14" x14ac:dyDescent="0.35">
      <c r="A561">
        <v>560</v>
      </c>
      <c r="B561">
        <v>63</v>
      </c>
      <c r="C561" t="s">
        <v>16</v>
      </c>
      <c r="D561">
        <v>82296</v>
      </c>
      <c r="E561">
        <v>61</v>
      </c>
      <c r="F561">
        <v>4</v>
      </c>
      <c r="G561">
        <v>43</v>
      </c>
      <c r="H561" t="s">
        <v>14</v>
      </c>
      <c r="I561">
        <v>390.89</v>
      </c>
      <c r="J561" s="1" t="str">
        <f t="shared" si="24"/>
        <v>valid</v>
      </c>
      <c r="K561" t="e">
        <f t="shared" ca="1" si="25"/>
        <v>#NAME?</v>
      </c>
      <c r="L561" t="str">
        <f>IF(E561&gt;=80,"High Value","Normal")</f>
        <v>Normal</v>
      </c>
      <c r="M561" s="2" t="str">
        <f t="shared" si="26"/>
        <v>YES</v>
      </c>
      <c r="N561" t="str">
        <f>VLOOKUP(A561,A560:H1560,8)</f>
        <v>Home &amp; Garden</v>
      </c>
    </row>
    <row r="562" spans="1:14" x14ac:dyDescent="0.35">
      <c r="A562">
        <v>561</v>
      </c>
      <c r="B562">
        <v>61</v>
      </c>
      <c r="C562" t="s">
        <v>13</v>
      </c>
      <c r="D562">
        <v>137276</v>
      </c>
      <c r="E562">
        <v>92</v>
      </c>
      <c r="F562">
        <v>5</v>
      </c>
      <c r="G562">
        <v>8</v>
      </c>
      <c r="H562" t="s">
        <v>10</v>
      </c>
      <c r="I562">
        <v>482.77</v>
      </c>
      <c r="J562" s="1" t="str">
        <f t="shared" si="24"/>
        <v>valid</v>
      </c>
      <c r="K562" t="e">
        <f t="shared" ca="1" si="25"/>
        <v>#NAME?</v>
      </c>
      <c r="L562" t="str">
        <f>IF(E562&gt;=80,"High Value","Normal")</f>
        <v>High Value</v>
      </c>
      <c r="M562" s="2" t="b">
        <f t="shared" si="26"/>
        <v>0</v>
      </c>
      <c r="N562" t="str">
        <f>VLOOKUP(A562,A561:H1561,8)</f>
        <v>Groceries</v>
      </c>
    </row>
    <row r="563" spans="1:14" x14ac:dyDescent="0.35">
      <c r="A563">
        <v>562</v>
      </c>
      <c r="B563">
        <v>18</v>
      </c>
      <c r="C563" t="s">
        <v>16</v>
      </c>
      <c r="D563">
        <v>143235</v>
      </c>
      <c r="E563">
        <v>46</v>
      </c>
      <c r="F563">
        <v>10</v>
      </c>
      <c r="G563">
        <v>31</v>
      </c>
      <c r="H563" t="s">
        <v>10</v>
      </c>
      <c r="I563">
        <v>143.75</v>
      </c>
      <c r="J563" s="1" t="str">
        <f t="shared" si="24"/>
        <v>valid</v>
      </c>
      <c r="K563" t="e">
        <f t="shared" ca="1" si="25"/>
        <v>#NAME?</v>
      </c>
      <c r="L563" t="str">
        <f>IF(E563&gt;=80,"High Value","Normal")</f>
        <v>Normal</v>
      </c>
      <c r="M563" s="2" t="b">
        <f t="shared" si="26"/>
        <v>0</v>
      </c>
      <c r="N563" t="str">
        <f>VLOOKUP(A563,A562:H1562,8)</f>
        <v>Groceries</v>
      </c>
    </row>
    <row r="564" spans="1:14" x14ac:dyDescent="0.35">
      <c r="A564">
        <v>563</v>
      </c>
      <c r="B564">
        <v>23</v>
      </c>
      <c r="C564" t="s">
        <v>16</v>
      </c>
      <c r="D564">
        <v>143899</v>
      </c>
      <c r="E564">
        <v>10</v>
      </c>
      <c r="F564">
        <v>3</v>
      </c>
      <c r="G564">
        <v>47</v>
      </c>
      <c r="H564" t="s">
        <v>10</v>
      </c>
      <c r="I564">
        <v>361.81</v>
      </c>
      <c r="J564" s="1" t="str">
        <f t="shared" si="24"/>
        <v>valid</v>
      </c>
      <c r="K564" t="e">
        <f t="shared" ca="1" si="25"/>
        <v>#NAME?</v>
      </c>
      <c r="L564" t="str">
        <f>IF(E564&gt;=80,"High Value","Normal")</f>
        <v>Normal</v>
      </c>
      <c r="M564" s="2" t="b">
        <f t="shared" si="26"/>
        <v>0</v>
      </c>
      <c r="N564" t="str">
        <f>VLOOKUP(A564,A563:H1563,8)</f>
        <v>Groceries</v>
      </c>
    </row>
    <row r="565" spans="1:14" x14ac:dyDescent="0.35">
      <c r="A565">
        <v>564</v>
      </c>
      <c r="B565">
        <v>56</v>
      </c>
      <c r="C565" t="s">
        <v>13</v>
      </c>
      <c r="D565">
        <v>134923</v>
      </c>
      <c r="E565">
        <v>18</v>
      </c>
      <c r="F565">
        <v>3</v>
      </c>
      <c r="G565">
        <v>31</v>
      </c>
      <c r="H565" t="s">
        <v>15</v>
      </c>
      <c r="I565">
        <v>515.16</v>
      </c>
      <c r="J565" s="1" t="str">
        <f t="shared" si="24"/>
        <v>valid</v>
      </c>
      <c r="K565" t="e">
        <f t="shared" ca="1" si="25"/>
        <v>#NAME?</v>
      </c>
      <c r="L565" t="str">
        <f>IF(E565&gt;=80,"High Value","Normal")</f>
        <v>Normal</v>
      </c>
      <c r="M565" s="2" t="str">
        <f t="shared" si="26"/>
        <v>YES</v>
      </c>
      <c r="N565" t="str">
        <f>VLOOKUP(A565,A564:H1564,8)</f>
        <v>Electronics</v>
      </c>
    </row>
    <row r="566" spans="1:14" x14ac:dyDescent="0.35">
      <c r="A566">
        <v>565</v>
      </c>
      <c r="B566">
        <v>68</v>
      </c>
      <c r="C566" t="s">
        <v>13</v>
      </c>
      <c r="D566">
        <v>106635</v>
      </c>
      <c r="E566">
        <v>85</v>
      </c>
      <c r="F566">
        <v>10</v>
      </c>
      <c r="G566">
        <v>30</v>
      </c>
      <c r="H566" t="s">
        <v>15</v>
      </c>
      <c r="I566">
        <v>854.95</v>
      </c>
      <c r="J566" s="1" t="str">
        <f t="shared" si="24"/>
        <v>valid</v>
      </c>
      <c r="K566" t="e">
        <f t="shared" ca="1" si="25"/>
        <v>#NAME?</v>
      </c>
      <c r="L566" t="str">
        <f>IF(E566&gt;=80,"High Value","Normal")</f>
        <v>High Value</v>
      </c>
      <c r="M566" s="2" t="str">
        <f t="shared" si="26"/>
        <v>YES</v>
      </c>
      <c r="N566" t="str">
        <f>VLOOKUP(A566,A565:H1565,8)</f>
        <v>Electronics</v>
      </c>
    </row>
    <row r="567" spans="1:14" x14ac:dyDescent="0.35">
      <c r="A567">
        <v>566</v>
      </c>
      <c r="B567">
        <v>29</v>
      </c>
      <c r="C567" t="s">
        <v>16</v>
      </c>
      <c r="D567">
        <v>60262</v>
      </c>
      <c r="E567">
        <v>56</v>
      </c>
      <c r="F567">
        <v>4</v>
      </c>
      <c r="G567">
        <v>27</v>
      </c>
      <c r="H567" t="s">
        <v>12</v>
      </c>
      <c r="I567">
        <v>452.32</v>
      </c>
      <c r="J567" s="1" t="str">
        <f t="shared" si="24"/>
        <v>valid</v>
      </c>
      <c r="K567" t="e">
        <f t="shared" ca="1" si="25"/>
        <v>#NAME?</v>
      </c>
      <c r="L567" t="str">
        <f>IF(E567&gt;=80,"High Value","Normal")</f>
        <v>Normal</v>
      </c>
      <c r="M567" s="2" t="b">
        <f t="shared" si="26"/>
        <v>0</v>
      </c>
      <c r="N567" t="str">
        <f>VLOOKUP(A567,A566:H1566,8)</f>
        <v>Clothing</v>
      </c>
    </row>
    <row r="568" spans="1:14" x14ac:dyDescent="0.35">
      <c r="A568">
        <v>567</v>
      </c>
      <c r="B568">
        <v>22</v>
      </c>
      <c r="C568" t="s">
        <v>13</v>
      </c>
      <c r="D568">
        <v>92601</v>
      </c>
      <c r="E568">
        <v>75</v>
      </c>
      <c r="F568">
        <v>7</v>
      </c>
      <c r="G568">
        <v>49</v>
      </c>
      <c r="H568" t="s">
        <v>15</v>
      </c>
      <c r="I568">
        <v>120.76</v>
      </c>
      <c r="J568" s="1" t="str">
        <f t="shared" si="24"/>
        <v>valid</v>
      </c>
      <c r="K568" t="e">
        <f t="shared" ca="1" si="25"/>
        <v>#NAME?</v>
      </c>
      <c r="L568" t="str">
        <f>IF(E568&gt;=80,"High Value","Normal")</f>
        <v>Normal</v>
      </c>
      <c r="M568" s="2" t="b">
        <f t="shared" si="26"/>
        <v>0</v>
      </c>
      <c r="N568" t="str">
        <f>VLOOKUP(A568,A567:H1567,8)</f>
        <v>Electronics</v>
      </c>
    </row>
    <row r="569" spans="1:14" x14ac:dyDescent="0.35">
      <c r="A569">
        <v>568</v>
      </c>
      <c r="B569">
        <v>45</v>
      </c>
      <c r="C569" t="s">
        <v>9</v>
      </c>
      <c r="D569">
        <v>41917</v>
      </c>
      <c r="E569">
        <v>58</v>
      </c>
      <c r="F569">
        <v>8</v>
      </c>
      <c r="G569">
        <v>5</v>
      </c>
      <c r="H569" t="s">
        <v>14</v>
      </c>
      <c r="I569">
        <v>870.38</v>
      </c>
      <c r="J569" s="1" t="str">
        <f t="shared" si="24"/>
        <v>valid</v>
      </c>
      <c r="K569" t="e">
        <f t="shared" ca="1" si="25"/>
        <v>#NAME?</v>
      </c>
      <c r="L569" t="str">
        <f>IF(E569&gt;=80,"High Value","Normal")</f>
        <v>Normal</v>
      </c>
      <c r="M569" s="2" t="b">
        <f t="shared" si="26"/>
        <v>0</v>
      </c>
      <c r="N569" t="str">
        <f>VLOOKUP(A569,A568:H1568,8)</f>
        <v>Home &amp; Garden</v>
      </c>
    </row>
    <row r="570" spans="1:14" x14ac:dyDescent="0.35">
      <c r="A570">
        <v>569</v>
      </c>
      <c r="B570">
        <v>29</v>
      </c>
      <c r="C570" t="s">
        <v>9</v>
      </c>
      <c r="D570">
        <v>59815</v>
      </c>
      <c r="E570">
        <v>43</v>
      </c>
      <c r="F570">
        <v>6</v>
      </c>
      <c r="G570">
        <v>24</v>
      </c>
      <c r="H570" t="s">
        <v>10</v>
      </c>
      <c r="I570">
        <v>105.48</v>
      </c>
      <c r="J570" s="1" t="str">
        <f t="shared" si="24"/>
        <v>valid</v>
      </c>
      <c r="K570" t="e">
        <f t="shared" ca="1" si="25"/>
        <v>#NAME?</v>
      </c>
      <c r="L570" t="str">
        <f>IF(E570&gt;=80,"High Value","Normal")</f>
        <v>Normal</v>
      </c>
      <c r="M570" s="2" t="b">
        <f t="shared" si="26"/>
        <v>0</v>
      </c>
      <c r="N570" t="str">
        <f>VLOOKUP(A570,A569:H1569,8)</f>
        <v>Groceries</v>
      </c>
    </row>
    <row r="571" spans="1:14" x14ac:dyDescent="0.35">
      <c r="A571">
        <v>570</v>
      </c>
      <c r="B571">
        <v>18</v>
      </c>
      <c r="C571" t="s">
        <v>13</v>
      </c>
      <c r="D571">
        <v>94701</v>
      </c>
      <c r="E571">
        <v>69</v>
      </c>
      <c r="F571">
        <v>8</v>
      </c>
      <c r="G571">
        <v>48</v>
      </c>
      <c r="H571" t="s">
        <v>12</v>
      </c>
      <c r="I571">
        <v>760.34</v>
      </c>
      <c r="J571" s="1" t="str">
        <f t="shared" si="24"/>
        <v>valid</v>
      </c>
      <c r="K571" t="e">
        <f t="shared" ca="1" si="25"/>
        <v>#NAME?</v>
      </c>
      <c r="L571" t="str">
        <f>IF(E571&gt;=80,"High Value","Normal")</f>
        <v>Normal</v>
      </c>
      <c r="M571" s="2" t="b">
        <f t="shared" si="26"/>
        <v>0</v>
      </c>
      <c r="N571" t="str">
        <f>VLOOKUP(A571,A570:H1570,8)</f>
        <v>Clothing</v>
      </c>
    </row>
    <row r="572" spans="1:14" x14ac:dyDescent="0.35">
      <c r="A572">
        <v>571</v>
      </c>
      <c r="B572">
        <v>36</v>
      </c>
      <c r="C572" t="s">
        <v>9</v>
      </c>
      <c r="D572">
        <v>31458</v>
      </c>
      <c r="E572">
        <v>40</v>
      </c>
      <c r="F572">
        <v>4</v>
      </c>
      <c r="G572">
        <v>6</v>
      </c>
      <c r="H572" t="s">
        <v>15</v>
      </c>
      <c r="I572">
        <v>371.77</v>
      </c>
      <c r="J572" s="1" t="str">
        <f t="shared" si="24"/>
        <v>valid</v>
      </c>
      <c r="K572" t="e">
        <f t="shared" ca="1" si="25"/>
        <v>#NAME?</v>
      </c>
      <c r="L572" t="str">
        <f>IF(E572&gt;=80,"High Value","Normal")</f>
        <v>Normal</v>
      </c>
      <c r="M572" s="2" t="b">
        <f t="shared" si="26"/>
        <v>0</v>
      </c>
      <c r="N572" t="str">
        <f>VLOOKUP(A572,A571:H1571,8)</f>
        <v>Electronics</v>
      </c>
    </row>
    <row r="573" spans="1:14" x14ac:dyDescent="0.35">
      <c r="A573">
        <v>572</v>
      </c>
      <c r="B573">
        <v>19</v>
      </c>
      <c r="C573" t="s">
        <v>16</v>
      </c>
      <c r="D573">
        <v>134193</v>
      </c>
      <c r="E573">
        <v>95</v>
      </c>
      <c r="F573">
        <v>7</v>
      </c>
      <c r="G573">
        <v>44</v>
      </c>
      <c r="H573" t="s">
        <v>15</v>
      </c>
      <c r="I573">
        <v>97.65</v>
      </c>
      <c r="J573" s="1" t="str">
        <f t="shared" si="24"/>
        <v>valid</v>
      </c>
      <c r="K573" t="e">
        <f t="shared" ca="1" si="25"/>
        <v>#NAME?</v>
      </c>
      <c r="L573" t="str">
        <f>IF(E573&gt;=80,"High Value","Normal")</f>
        <v>High Value</v>
      </c>
      <c r="M573" s="2" t="b">
        <f t="shared" si="26"/>
        <v>0</v>
      </c>
      <c r="N573" t="str">
        <f>VLOOKUP(A573,A572:H1572,8)</f>
        <v>Electronics</v>
      </c>
    </row>
    <row r="574" spans="1:14" x14ac:dyDescent="0.35">
      <c r="A574">
        <v>573</v>
      </c>
      <c r="B574">
        <v>40</v>
      </c>
      <c r="C574" t="s">
        <v>9</v>
      </c>
      <c r="D574">
        <v>143338</v>
      </c>
      <c r="E574">
        <v>6</v>
      </c>
      <c r="F574">
        <v>8</v>
      </c>
      <c r="G574">
        <v>26</v>
      </c>
      <c r="H574" t="s">
        <v>10</v>
      </c>
      <c r="I574">
        <v>491.07</v>
      </c>
      <c r="J574" s="1" t="str">
        <f t="shared" si="24"/>
        <v>valid</v>
      </c>
      <c r="K574" t="e">
        <f t="shared" ca="1" si="25"/>
        <v>#NAME?</v>
      </c>
      <c r="L574" t="str">
        <f>IF(E574&gt;=80,"High Value","Normal")</f>
        <v>Normal</v>
      </c>
      <c r="M574" s="2" t="str">
        <f t="shared" si="26"/>
        <v>YES</v>
      </c>
      <c r="N574" t="str">
        <f>VLOOKUP(A574,A573:H1573,8)</f>
        <v>Groceries</v>
      </c>
    </row>
    <row r="575" spans="1:14" x14ac:dyDescent="0.35">
      <c r="A575">
        <v>574</v>
      </c>
      <c r="B575">
        <v>48</v>
      </c>
      <c r="C575" t="s">
        <v>13</v>
      </c>
      <c r="D575">
        <v>93084</v>
      </c>
      <c r="E575">
        <v>30</v>
      </c>
      <c r="F575">
        <v>7</v>
      </c>
      <c r="G575">
        <v>5</v>
      </c>
      <c r="H575" t="s">
        <v>12</v>
      </c>
      <c r="I575">
        <v>480.55</v>
      </c>
      <c r="J575" s="1" t="str">
        <f t="shared" si="24"/>
        <v>valid</v>
      </c>
      <c r="K575" t="e">
        <f t="shared" ca="1" si="25"/>
        <v>#NAME?</v>
      </c>
      <c r="L575" t="str">
        <f>IF(E575&gt;=80,"High Value","Normal")</f>
        <v>Normal</v>
      </c>
      <c r="M575" s="2" t="b">
        <f t="shared" si="26"/>
        <v>0</v>
      </c>
      <c r="N575" t="str">
        <f>VLOOKUP(A575,A574:H1574,8)</f>
        <v>Clothing</v>
      </c>
    </row>
    <row r="576" spans="1:14" x14ac:dyDescent="0.35">
      <c r="A576">
        <v>575</v>
      </c>
      <c r="B576">
        <v>49</v>
      </c>
      <c r="C576" t="s">
        <v>16</v>
      </c>
      <c r="D576">
        <v>55027</v>
      </c>
      <c r="E576">
        <v>62</v>
      </c>
      <c r="F576">
        <v>2</v>
      </c>
      <c r="G576">
        <v>1</v>
      </c>
      <c r="H576" t="s">
        <v>12</v>
      </c>
      <c r="I576">
        <v>962.9</v>
      </c>
      <c r="J576" s="1" t="str">
        <f t="shared" si="24"/>
        <v>valid</v>
      </c>
      <c r="K576" t="e">
        <f t="shared" ca="1" si="25"/>
        <v>#NAME?</v>
      </c>
      <c r="L576" t="str">
        <f>IF(E576&gt;=80,"High Value","Normal")</f>
        <v>Normal</v>
      </c>
      <c r="M576" s="2" t="b">
        <f t="shared" si="26"/>
        <v>0</v>
      </c>
      <c r="N576" t="str">
        <f>VLOOKUP(A576,A575:H1575,8)</f>
        <v>Clothing</v>
      </c>
    </row>
    <row r="577" spans="1:14" x14ac:dyDescent="0.35">
      <c r="A577">
        <v>576</v>
      </c>
      <c r="B577">
        <v>51</v>
      </c>
      <c r="C577" t="s">
        <v>9</v>
      </c>
      <c r="D577">
        <v>149256</v>
      </c>
      <c r="E577">
        <v>96</v>
      </c>
      <c r="F577">
        <v>1</v>
      </c>
      <c r="G577">
        <v>31</v>
      </c>
      <c r="H577" t="s">
        <v>15</v>
      </c>
      <c r="I577">
        <v>266.83</v>
      </c>
      <c r="J577" s="1" t="str">
        <f t="shared" si="24"/>
        <v>valid</v>
      </c>
      <c r="K577" t="e">
        <f t="shared" ca="1" si="25"/>
        <v>#NAME?</v>
      </c>
      <c r="L577" t="str">
        <f>IF(E577&gt;=80,"High Value","Normal")</f>
        <v>High Value</v>
      </c>
      <c r="M577" s="2" t="str">
        <f t="shared" si="26"/>
        <v>YES</v>
      </c>
      <c r="N577" t="str">
        <f>VLOOKUP(A577,A576:H1576,8)</f>
        <v>Electronics</v>
      </c>
    </row>
    <row r="578" spans="1:14" x14ac:dyDescent="0.35">
      <c r="A578">
        <v>577</v>
      </c>
      <c r="B578">
        <v>32</v>
      </c>
      <c r="C578" t="s">
        <v>9</v>
      </c>
      <c r="D578">
        <v>46610</v>
      </c>
      <c r="E578">
        <v>92</v>
      </c>
      <c r="F578">
        <v>5</v>
      </c>
      <c r="G578">
        <v>9</v>
      </c>
      <c r="H578" t="s">
        <v>10</v>
      </c>
      <c r="I578">
        <v>409.85</v>
      </c>
      <c r="J578" s="1" t="str">
        <f t="shared" si="24"/>
        <v>valid</v>
      </c>
      <c r="K578" t="e">
        <f t="shared" ca="1" si="25"/>
        <v>#NAME?</v>
      </c>
      <c r="L578" t="str">
        <f>IF(E578&gt;=80,"High Value","Normal")</f>
        <v>High Value</v>
      </c>
      <c r="M578" s="2" t="b">
        <f t="shared" si="26"/>
        <v>0</v>
      </c>
      <c r="N578" t="str">
        <f>VLOOKUP(A578,A577:H1577,8)</f>
        <v>Groceries</v>
      </c>
    </row>
    <row r="579" spans="1:14" x14ac:dyDescent="0.35">
      <c r="A579">
        <v>578</v>
      </c>
      <c r="B579">
        <v>64</v>
      </c>
      <c r="C579" t="s">
        <v>16</v>
      </c>
      <c r="D579">
        <v>43175</v>
      </c>
      <c r="E579">
        <v>59</v>
      </c>
      <c r="F579">
        <v>10</v>
      </c>
      <c r="G579">
        <v>35</v>
      </c>
      <c r="H579" t="s">
        <v>15</v>
      </c>
      <c r="I579">
        <v>363.86</v>
      </c>
      <c r="J579" s="1" t="str">
        <f t="shared" ref="J579:J642" si="27">IF(AND(B579&gt;=18, B579&lt;=100), "valid", "invalid")</f>
        <v>valid</v>
      </c>
      <c r="K579" t="e">
        <f t="shared" ref="K579:K642" ca="1" si="28">IFS(OR(C579= "Female",C579="female",C579= "F"), "Female", OR(C579="Male", C579="male",C579= "M"), "Male", TRUE, "Other")</f>
        <v>#NAME?</v>
      </c>
      <c r="L579" t="str">
        <f>IF(E579&gt;=80,"High Value","Normal")</f>
        <v>Normal</v>
      </c>
      <c r="M579" s="2" t="str">
        <f t="shared" ref="M579:M642" si="29">IF(AND(B579&gt;30,G579&gt;20), "YES")</f>
        <v>YES</v>
      </c>
      <c r="N579" t="str">
        <f>VLOOKUP(A579,A578:H1578,8)</f>
        <v>Electronics</v>
      </c>
    </row>
    <row r="580" spans="1:14" x14ac:dyDescent="0.35">
      <c r="A580">
        <v>579</v>
      </c>
      <c r="B580">
        <v>21</v>
      </c>
      <c r="C580" t="s">
        <v>9</v>
      </c>
      <c r="D580">
        <v>71227</v>
      </c>
      <c r="E580">
        <v>17</v>
      </c>
      <c r="F580">
        <v>10</v>
      </c>
      <c r="G580">
        <v>12</v>
      </c>
      <c r="H580" t="s">
        <v>15</v>
      </c>
      <c r="I580">
        <v>101.48</v>
      </c>
      <c r="J580" s="1" t="str">
        <f t="shared" si="27"/>
        <v>valid</v>
      </c>
      <c r="K580" t="e">
        <f t="shared" ca="1" si="28"/>
        <v>#NAME?</v>
      </c>
      <c r="L580" t="str">
        <f>IF(E580&gt;=80,"High Value","Normal")</f>
        <v>Normal</v>
      </c>
      <c r="M580" s="2" t="b">
        <f t="shared" si="29"/>
        <v>0</v>
      </c>
      <c r="N580" t="str">
        <f>VLOOKUP(A580,A579:H1579,8)</f>
        <v>Electronics</v>
      </c>
    </row>
    <row r="581" spans="1:14" x14ac:dyDescent="0.35">
      <c r="A581">
        <v>580</v>
      </c>
      <c r="B581">
        <v>51</v>
      </c>
      <c r="C581" t="s">
        <v>9</v>
      </c>
      <c r="D581">
        <v>149744</v>
      </c>
      <c r="E581">
        <v>99</v>
      </c>
      <c r="F581">
        <v>1</v>
      </c>
      <c r="G581">
        <v>12</v>
      </c>
      <c r="H581" t="s">
        <v>10</v>
      </c>
      <c r="I581">
        <v>215.92</v>
      </c>
      <c r="J581" s="1" t="str">
        <f t="shared" si="27"/>
        <v>valid</v>
      </c>
      <c r="K581" t="e">
        <f t="shared" ca="1" si="28"/>
        <v>#NAME?</v>
      </c>
      <c r="L581" t="str">
        <f>IF(E581&gt;=80,"High Value","Normal")</f>
        <v>High Value</v>
      </c>
      <c r="M581" s="2" t="b">
        <f t="shared" si="29"/>
        <v>0</v>
      </c>
      <c r="N581" t="str">
        <f>VLOOKUP(A581,A580:H1580,8)</f>
        <v>Groceries</v>
      </c>
    </row>
    <row r="582" spans="1:14" x14ac:dyDescent="0.35">
      <c r="A582">
        <v>581</v>
      </c>
      <c r="B582">
        <v>46</v>
      </c>
      <c r="C582" t="s">
        <v>16</v>
      </c>
      <c r="D582">
        <v>129568</v>
      </c>
      <c r="E582">
        <v>56</v>
      </c>
      <c r="F582">
        <v>10</v>
      </c>
      <c r="G582">
        <v>27</v>
      </c>
      <c r="H582" t="s">
        <v>12</v>
      </c>
      <c r="I582">
        <v>766.26</v>
      </c>
      <c r="J582" s="1" t="str">
        <f t="shared" si="27"/>
        <v>valid</v>
      </c>
      <c r="K582" t="e">
        <f t="shared" ca="1" si="28"/>
        <v>#NAME?</v>
      </c>
      <c r="L582" t="str">
        <f>IF(E582&gt;=80,"High Value","Normal")</f>
        <v>Normal</v>
      </c>
      <c r="M582" s="2" t="str">
        <f t="shared" si="29"/>
        <v>YES</v>
      </c>
      <c r="N582" t="str">
        <f>VLOOKUP(A582,A581:H1581,8)</f>
        <v>Clothing</v>
      </c>
    </row>
    <row r="583" spans="1:14" x14ac:dyDescent="0.35">
      <c r="A583">
        <v>582</v>
      </c>
      <c r="B583">
        <v>19</v>
      </c>
      <c r="C583" t="s">
        <v>16</v>
      </c>
      <c r="D583">
        <v>135968</v>
      </c>
      <c r="E583">
        <v>50</v>
      </c>
      <c r="F583">
        <v>4</v>
      </c>
      <c r="G583">
        <v>49</v>
      </c>
      <c r="H583" t="s">
        <v>15</v>
      </c>
      <c r="I583">
        <v>174.43</v>
      </c>
      <c r="J583" s="1" t="str">
        <f t="shared" si="27"/>
        <v>valid</v>
      </c>
      <c r="K583" t="e">
        <f t="shared" ca="1" si="28"/>
        <v>#NAME?</v>
      </c>
      <c r="L583" t="str">
        <f>IF(E583&gt;=80,"High Value","Normal")</f>
        <v>Normal</v>
      </c>
      <c r="M583" s="2" t="b">
        <f t="shared" si="29"/>
        <v>0</v>
      </c>
      <c r="N583" t="str">
        <f>VLOOKUP(A583,A582:H1582,8)</f>
        <v>Electronics</v>
      </c>
    </row>
    <row r="584" spans="1:14" x14ac:dyDescent="0.35">
      <c r="A584">
        <v>583</v>
      </c>
      <c r="B584">
        <v>33</v>
      </c>
      <c r="C584" t="s">
        <v>16</v>
      </c>
      <c r="D584">
        <v>38240</v>
      </c>
      <c r="E584">
        <v>92</v>
      </c>
      <c r="F584">
        <v>3</v>
      </c>
      <c r="G584">
        <v>37</v>
      </c>
      <c r="H584" t="s">
        <v>14</v>
      </c>
      <c r="I584">
        <v>626.82000000000005</v>
      </c>
      <c r="J584" s="1" t="str">
        <f t="shared" si="27"/>
        <v>valid</v>
      </c>
      <c r="K584" t="e">
        <f t="shared" ca="1" si="28"/>
        <v>#NAME?</v>
      </c>
      <c r="L584" t="str">
        <f>IF(E584&gt;=80,"High Value","Normal")</f>
        <v>High Value</v>
      </c>
      <c r="M584" s="2" t="str">
        <f t="shared" si="29"/>
        <v>YES</v>
      </c>
      <c r="N584" t="str">
        <f>VLOOKUP(A584,A583:H1583,8)</f>
        <v>Home &amp; Garden</v>
      </c>
    </row>
    <row r="585" spans="1:14" x14ac:dyDescent="0.35">
      <c r="A585">
        <v>584</v>
      </c>
      <c r="B585">
        <v>30</v>
      </c>
      <c r="C585" t="s">
        <v>16</v>
      </c>
      <c r="D585">
        <v>114808</v>
      </c>
      <c r="E585">
        <v>23</v>
      </c>
      <c r="F585">
        <v>9</v>
      </c>
      <c r="G585">
        <v>6</v>
      </c>
      <c r="H585" t="s">
        <v>12</v>
      </c>
      <c r="I585">
        <v>74.08</v>
      </c>
      <c r="J585" s="1" t="str">
        <f t="shared" si="27"/>
        <v>valid</v>
      </c>
      <c r="K585" t="e">
        <f t="shared" ca="1" si="28"/>
        <v>#NAME?</v>
      </c>
      <c r="L585" t="str">
        <f>IF(E585&gt;=80,"High Value","Normal")</f>
        <v>Normal</v>
      </c>
      <c r="M585" s="2" t="b">
        <f t="shared" si="29"/>
        <v>0</v>
      </c>
      <c r="N585" t="str">
        <f>VLOOKUP(A585,A584:H1584,8)</f>
        <v>Clothing</v>
      </c>
    </row>
    <row r="586" spans="1:14" x14ac:dyDescent="0.35">
      <c r="A586">
        <v>585</v>
      </c>
      <c r="B586">
        <v>51</v>
      </c>
      <c r="C586" t="s">
        <v>9</v>
      </c>
      <c r="D586">
        <v>37310</v>
      </c>
      <c r="E586">
        <v>6</v>
      </c>
      <c r="F586">
        <v>5</v>
      </c>
      <c r="G586">
        <v>14</v>
      </c>
      <c r="H586" t="s">
        <v>11</v>
      </c>
      <c r="I586">
        <v>706.18</v>
      </c>
      <c r="J586" s="1" t="str">
        <f t="shared" si="27"/>
        <v>valid</v>
      </c>
      <c r="K586" t="e">
        <f t="shared" ca="1" si="28"/>
        <v>#NAME?</v>
      </c>
      <c r="L586" t="str">
        <f>IF(E586&gt;=80,"High Value","Normal")</f>
        <v>Normal</v>
      </c>
      <c r="M586" s="2" t="b">
        <f t="shared" si="29"/>
        <v>0</v>
      </c>
      <c r="N586" t="str">
        <f>VLOOKUP(A586,A585:H1585,8)</f>
        <v>Sports</v>
      </c>
    </row>
    <row r="587" spans="1:14" x14ac:dyDescent="0.35">
      <c r="A587">
        <v>586</v>
      </c>
      <c r="B587">
        <v>62</v>
      </c>
      <c r="C587" t="s">
        <v>13</v>
      </c>
      <c r="D587">
        <v>147903</v>
      </c>
      <c r="E587">
        <v>79</v>
      </c>
      <c r="F587">
        <v>5</v>
      </c>
      <c r="G587">
        <v>22</v>
      </c>
      <c r="H587" t="s">
        <v>15</v>
      </c>
      <c r="I587">
        <v>203.15</v>
      </c>
      <c r="J587" s="1" t="str">
        <f t="shared" si="27"/>
        <v>valid</v>
      </c>
      <c r="K587" t="e">
        <f t="shared" ca="1" si="28"/>
        <v>#NAME?</v>
      </c>
      <c r="L587" t="str">
        <f>IF(E587&gt;=80,"High Value","Normal")</f>
        <v>Normal</v>
      </c>
      <c r="M587" s="2" t="str">
        <f t="shared" si="29"/>
        <v>YES</v>
      </c>
      <c r="N587" t="str">
        <f>VLOOKUP(A587,A586:H1586,8)</f>
        <v>Electronics</v>
      </c>
    </row>
    <row r="588" spans="1:14" x14ac:dyDescent="0.35">
      <c r="A588">
        <v>587</v>
      </c>
      <c r="B588">
        <v>20</v>
      </c>
      <c r="C588" t="s">
        <v>13</v>
      </c>
      <c r="D588">
        <v>61541</v>
      </c>
      <c r="E588">
        <v>80</v>
      </c>
      <c r="F588">
        <v>2</v>
      </c>
      <c r="G588">
        <v>14</v>
      </c>
      <c r="H588" t="s">
        <v>10</v>
      </c>
      <c r="I588">
        <v>48.5</v>
      </c>
      <c r="J588" s="1" t="str">
        <f t="shared" si="27"/>
        <v>valid</v>
      </c>
      <c r="K588" t="e">
        <f t="shared" ca="1" si="28"/>
        <v>#NAME?</v>
      </c>
      <c r="L588" t="str">
        <f>IF(E588&gt;=80,"High Value","Normal")</f>
        <v>High Value</v>
      </c>
      <c r="M588" s="2" t="b">
        <f t="shared" si="29"/>
        <v>0</v>
      </c>
      <c r="N588" t="str">
        <f>VLOOKUP(A588,A587:H1587,8)</f>
        <v>Groceries</v>
      </c>
    </row>
    <row r="589" spans="1:14" x14ac:dyDescent="0.35">
      <c r="A589">
        <v>588</v>
      </c>
      <c r="B589">
        <v>47</v>
      </c>
      <c r="C589" t="s">
        <v>13</v>
      </c>
      <c r="D589">
        <v>55753</v>
      </c>
      <c r="E589">
        <v>69</v>
      </c>
      <c r="F589">
        <v>5</v>
      </c>
      <c r="G589">
        <v>40</v>
      </c>
      <c r="H589" t="s">
        <v>14</v>
      </c>
      <c r="I589">
        <v>772.89</v>
      </c>
      <c r="J589" s="1" t="str">
        <f t="shared" si="27"/>
        <v>valid</v>
      </c>
      <c r="K589" t="e">
        <f t="shared" ca="1" si="28"/>
        <v>#NAME?</v>
      </c>
      <c r="L589" t="str">
        <f>IF(E589&gt;=80,"High Value","Normal")</f>
        <v>Normal</v>
      </c>
      <c r="M589" s="2" t="str">
        <f t="shared" si="29"/>
        <v>YES</v>
      </c>
      <c r="N589" t="str">
        <f>VLOOKUP(A589,A588:H1588,8)</f>
        <v>Home &amp; Garden</v>
      </c>
    </row>
    <row r="590" spans="1:14" x14ac:dyDescent="0.35">
      <c r="A590">
        <v>589</v>
      </c>
      <c r="B590">
        <v>29</v>
      </c>
      <c r="C590" t="s">
        <v>13</v>
      </c>
      <c r="D590">
        <v>80868</v>
      </c>
      <c r="E590">
        <v>33</v>
      </c>
      <c r="F590">
        <v>6</v>
      </c>
      <c r="G590">
        <v>15</v>
      </c>
      <c r="H590" t="s">
        <v>12</v>
      </c>
      <c r="I590">
        <v>865.65</v>
      </c>
      <c r="J590" s="1" t="str">
        <f t="shared" si="27"/>
        <v>valid</v>
      </c>
      <c r="K590" t="e">
        <f t="shared" ca="1" si="28"/>
        <v>#NAME?</v>
      </c>
      <c r="L590" t="str">
        <f>IF(E590&gt;=80,"High Value","Normal")</f>
        <v>Normal</v>
      </c>
      <c r="M590" s="2" t="b">
        <f t="shared" si="29"/>
        <v>0</v>
      </c>
      <c r="N590" t="str">
        <f>VLOOKUP(A590,A589:H1589,8)</f>
        <v>Clothing</v>
      </c>
    </row>
    <row r="591" spans="1:14" x14ac:dyDescent="0.35">
      <c r="A591">
        <v>590</v>
      </c>
      <c r="B591">
        <v>33</v>
      </c>
      <c r="C591" t="s">
        <v>16</v>
      </c>
      <c r="D591">
        <v>93599</v>
      </c>
      <c r="E591">
        <v>22</v>
      </c>
      <c r="F591">
        <v>4</v>
      </c>
      <c r="G591">
        <v>37</v>
      </c>
      <c r="H591" t="s">
        <v>11</v>
      </c>
      <c r="I591">
        <v>274.95999999999998</v>
      </c>
      <c r="J591" s="1" t="str">
        <f t="shared" si="27"/>
        <v>valid</v>
      </c>
      <c r="K591" t="e">
        <f t="shared" ca="1" si="28"/>
        <v>#NAME?</v>
      </c>
      <c r="L591" t="str">
        <f>IF(E591&gt;=80,"High Value","Normal")</f>
        <v>Normal</v>
      </c>
      <c r="M591" s="2" t="str">
        <f t="shared" si="29"/>
        <v>YES</v>
      </c>
      <c r="N591" t="str">
        <f>VLOOKUP(A591,A590:H1590,8)</f>
        <v>Sports</v>
      </c>
    </row>
    <row r="592" spans="1:14" x14ac:dyDescent="0.35">
      <c r="A592">
        <v>591</v>
      </c>
      <c r="B592">
        <v>53</v>
      </c>
      <c r="C592" t="s">
        <v>16</v>
      </c>
      <c r="D592">
        <v>108263</v>
      </c>
      <c r="E592">
        <v>21</v>
      </c>
      <c r="F592">
        <v>1</v>
      </c>
      <c r="G592">
        <v>47</v>
      </c>
      <c r="H592" t="s">
        <v>15</v>
      </c>
      <c r="I592">
        <v>734.48</v>
      </c>
      <c r="J592" s="1" t="str">
        <f t="shared" si="27"/>
        <v>valid</v>
      </c>
      <c r="K592" t="e">
        <f t="shared" ca="1" si="28"/>
        <v>#NAME?</v>
      </c>
      <c r="L592" t="str">
        <f>IF(E592&gt;=80,"High Value","Normal")</f>
        <v>Normal</v>
      </c>
      <c r="M592" s="2" t="str">
        <f t="shared" si="29"/>
        <v>YES</v>
      </c>
      <c r="N592" t="str">
        <f>VLOOKUP(A592,A591:H1591,8)</f>
        <v>Electronics</v>
      </c>
    </row>
    <row r="593" spans="1:14" x14ac:dyDescent="0.35">
      <c r="A593">
        <v>592</v>
      </c>
      <c r="B593">
        <v>22</v>
      </c>
      <c r="C593" t="s">
        <v>16</v>
      </c>
      <c r="D593">
        <v>100730</v>
      </c>
      <c r="E593">
        <v>4</v>
      </c>
      <c r="F593">
        <v>5</v>
      </c>
      <c r="G593">
        <v>10</v>
      </c>
      <c r="H593" t="s">
        <v>11</v>
      </c>
      <c r="I593">
        <v>459.58</v>
      </c>
      <c r="J593" s="1" t="str">
        <f t="shared" si="27"/>
        <v>valid</v>
      </c>
      <c r="K593" t="e">
        <f t="shared" ca="1" si="28"/>
        <v>#NAME?</v>
      </c>
      <c r="L593" t="str">
        <f>IF(E593&gt;=80,"High Value","Normal")</f>
        <v>Normal</v>
      </c>
      <c r="M593" s="2" t="b">
        <f t="shared" si="29"/>
        <v>0</v>
      </c>
      <c r="N593" t="str">
        <f>VLOOKUP(A593,A592:H1592,8)</f>
        <v>Sports</v>
      </c>
    </row>
    <row r="594" spans="1:14" x14ac:dyDescent="0.35">
      <c r="A594">
        <v>593</v>
      </c>
      <c r="B594">
        <v>62</v>
      </c>
      <c r="C594" t="s">
        <v>9</v>
      </c>
      <c r="D594">
        <v>148501</v>
      </c>
      <c r="E594">
        <v>41</v>
      </c>
      <c r="F594">
        <v>9</v>
      </c>
      <c r="G594">
        <v>32</v>
      </c>
      <c r="H594" t="s">
        <v>11</v>
      </c>
      <c r="I594">
        <v>980.47</v>
      </c>
      <c r="J594" s="1" t="str">
        <f t="shared" si="27"/>
        <v>valid</v>
      </c>
      <c r="K594" t="e">
        <f t="shared" ca="1" si="28"/>
        <v>#NAME?</v>
      </c>
      <c r="L594" t="str">
        <f>IF(E594&gt;=80,"High Value","Normal")</f>
        <v>Normal</v>
      </c>
      <c r="M594" s="2" t="str">
        <f t="shared" si="29"/>
        <v>YES</v>
      </c>
      <c r="N594" t="str">
        <f>VLOOKUP(A594,A593:H1593,8)</f>
        <v>Sports</v>
      </c>
    </row>
    <row r="595" spans="1:14" x14ac:dyDescent="0.35">
      <c r="A595">
        <v>594</v>
      </c>
      <c r="B595">
        <v>29</v>
      </c>
      <c r="C595" t="s">
        <v>13</v>
      </c>
      <c r="D595">
        <v>98150</v>
      </c>
      <c r="E595">
        <v>42</v>
      </c>
      <c r="F595">
        <v>9</v>
      </c>
      <c r="G595">
        <v>34</v>
      </c>
      <c r="H595" t="s">
        <v>11</v>
      </c>
      <c r="I595">
        <v>324.11</v>
      </c>
      <c r="J595" s="1" t="str">
        <f t="shared" si="27"/>
        <v>valid</v>
      </c>
      <c r="K595" t="e">
        <f t="shared" ca="1" si="28"/>
        <v>#NAME?</v>
      </c>
      <c r="L595" t="str">
        <f>IF(E595&gt;=80,"High Value","Normal")</f>
        <v>Normal</v>
      </c>
      <c r="M595" s="2" t="b">
        <f t="shared" si="29"/>
        <v>0</v>
      </c>
      <c r="N595" t="str">
        <f>VLOOKUP(A595,A594:H1594,8)</f>
        <v>Sports</v>
      </c>
    </row>
    <row r="596" spans="1:14" x14ac:dyDescent="0.35">
      <c r="A596">
        <v>595</v>
      </c>
      <c r="B596">
        <v>28</v>
      </c>
      <c r="C596" t="s">
        <v>13</v>
      </c>
      <c r="D596">
        <v>61870</v>
      </c>
      <c r="E596">
        <v>100</v>
      </c>
      <c r="F596">
        <v>6</v>
      </c>
      <c r="G596">
        <v>3</v>
      </c>
      <c r="H596" t="s">
        <v>10</v>
      </c>
      <c r="I596">
        <v>728.67</v>
      </c>
      <c r="J596" s="1" t="str">
        <f t="shared" si="27"/>
        <v>valid</v>
      </c>
      <c r="K596" t="e">
        <f t="shared" ca="1" si="28"/>
        <v>#NAME?</v>
      </c>
      <c r="L596" t="str">
        <f>IF(E596&gt;=80,"High Value","Normal")</f>
        <v>High Value</v>
      </c>
      <c r="M596" s="2" t="b">
        <f t="shared" si="29"/>
        <v>0</v>
      </c>
      <c r="N596" t="str">
        <f>VLOOKUP(A596,A595:H1595,8)</f>
        <v>Groceries</v>
      </c>
    </row>
    <row r="597" spans="1:14" x14ac:dyDescent="0.35">
      <c r="A597">
        <v>596</v>
      </c>
      <c r="B597">
        <v>46</v>
      </c>
      <c r="C597" t="s">
        <v>16</v>
      </c>
      <c r="D597">
        <v>73370</v>
      </c>
      <c r="E597">
        <v>2</v>
      </c>
      <c r="F597">
        <v>4</v>
      </c>
      <c r="G597">
        <v>29</v>
      </c>
      <c r="H597" t="s">
        <v>14</v>
      </c>
      <c r="I597">
        <v>486.5</v>
      </c>
      <c r="J597" s="1" t="str">
        <f t="shared" si="27"/>
        <v>valid</v>
      </c>
      <c r="K597" t="e">
        <f t="shared" ca="1" si="28"/>
        <v>#NAME?</v>
      </c>
      <c r="L597" t="str">
        <f>IF(E597&gt;=80,"High Value","Normal")</f>
        <v>Normal</v>
      </c>
      <c r="M597" s="2" t="str">
        <f t="shared" si="29"/>
        <v>YES</v>
      </c>
      <c r="N597" t="str">
        <f>VLOOKUP(A597,A596:H1596,8)</f>
        <v>Home &amp; Garden</v>
      </c>
    </row>
    <row r="598" spans="1:14" x14ac:dyDescent="0.35">
      <c r="A598">
        <v>597</v>
      </c>
      <c r="B598">
        <v>50</v>
      </c>
      <c r="C598" t="s">
        <v>16</v>
      </c>
      <c r="D598">
        <v>132598</v>
      </c>
      <c r="E598">
        <v>57</v>
      </c>
      <c r="F598">
        <v>7</v>
      </c>
      <c r="G598">
        <v>21</v>
      </c>
      <c r="H598" t="s">
        <v>14</v>
      </c>
      <c r="I598">
        <v>930.91</v>
      </c>
      <c r="J598" s="1" t="str">
        <f t="shared" si="27"/>
        <v>valid</v>
      </c>
      <c r="K598" t="e">
        <f t="shared" ca="1" si="28"/>
        <v>#NAME?</v>
      </c>
      <c r="L598" t="str">
        <f>IF(E598&gt;=80,"High Value","Normal")</f>
        <v>Normal</v>
      </c>
      <c r="M598" s="2" t="str">
        <f t="shared" si="29"/>
        <v>YES</v>
      </c>
      <c r="N598" t="str">
        <f>VLOOKUP(A598,A597:H1597,8)</f>
        <v>Home &amp; Garden</v>
      </c>
    </row>
    <row r="599" spans="1:14" x14ac:dyDescent="0.35">
      <c r="A599">
        <v>598</v>
      </c>
      <c r="B599">
        <v>56</v>
      </c>
      <c r="C599" t="s">
        <v>13</v>
      </c>
      <c r="D599">
        <v>55695</v>
      </c>
      <c r="E599">
        <v>58</v>
      </c>
      <c r="F599">
        <v>7</v>
      </c>
      <c r="G599">
        <v>30</v>
      </c>
      <c r="H599" t="s">
        <v>15</v>
      </c>
      <c r="I599">
        <v>435.76</v>
      </c>
      <c r="J599" s="1" t="str">
        <f t="shared" si="27"/>
        <v>valid</v>
      </c>
      <c r="K599" t="e">
        <f t="shared" ca="1" si="28"/>
        <v>#NAME?</v>
      </c>
      <c r="L599" t="str">
        <f>IF(E599&gt;=80,"High Value","Normal")</f>
        <v>Normal</v>
      </c>
      <c r="M599" s="2" t="str">
        <f t="shared" si="29"/>
        <v>YES</v>
      </c>
      <c r="N599" t="str">
        <f>VLOOKUP(A599,A598:H1598,8)</f>
        <v>Electronics</v>
      </c>
    </row>
    <row r="600" spans="1:14" x14ac:dyDescent="0.35">
      <c r="A600">
        <v>599</v>
      </c>
      <c r="B600">
        <v>41</v>
      </c>
      <c r="C600" t="s">
        <v>13</v>
      </c>
      <c r="D600">
        <v>69204</v>
      </c>
      <c r="E600">
        <v>95</v>
      </c>
      <c r="F600">
        <v>4</v>
      </c>
      <c r="G600">
        <v>28</v>
      </c>
      <c r="H600" t="s">
        <v>12</v>
      </c>
      <c r="I600">
        <v>936.04</v>
      </c>
      <c r="J600" s="1" t="str">
        <f t="shared" si="27"/>
        <v>valid</v>
      </c>
      <c r="K600" t="e">
        <f t="shared" ca="1" si="28"/>
        <v>#NAME?</v>
      </c>
      <c r="L600" t="str">
        <f>IF(E600&gt;=80,"High Value","Normal")</f>
        <v>High Value</v>
      </c>
      <c r="M600" s="2" t="str">
        <f t="shared" si="29"/>
        <v>YES</v>
      </c>
      <c r="N600" t="str">
        <f>VLOOKUP(A600,A599:H1599,8)</f>
        <v>Clothing</v>
      </c>
    </row>
    <row r="601" spans="1:14" x14ac:dyDescent="0.35">
      <c r="A601">
        <v>600</v>
      </c>
      <c r="B601">
        <v>52</v>
      </c>
      <c r="C601" t="s">
        <v>16</v>
      </c>
      <c r="D601">
        <v>127010</v>
      </c>
      <c r="E601">
        <v>76</v>
      </c>
      <c r="F601">
        <v>8</v>
      </c>
      <c r="G601">
        <v>26</v>
      </c>
      <c r="H601" t="s">
        <v>11</v>
      </c>
      <c r="I601">
        <v>13.46</v>
      </c>
      <c r="J601" s="1" t="str">
        <f t="shared" si="27"/>
        <v>valid</v>
      </c>
      <c r="K601" t="e">
        <f t="shared" ca="1" si="28"/>
        <v>#NAME?</v>
      </c>
      <c r="L601" t="str">
        <f>IF(E601&gt;=80,"High Value","Normal")</f>
        <v>Normal</v>
      </c>
      <c r="M601" s="2" t="str">
        <f t="shared" si="29"/>
        <v>YES</v>
      </c>
      <c r="N601" t="str">
        <f>VLOOKUP(A601,A600:H1600,8)</f>
        <v>Sports</v>
      </c>
    </row>
    <row r="602" spans="1:14" x14ac:dyDescent="0.35">
      <c r="A602">
        <v>601</v>
      </c>
      <c r="B602">
        <v>53</v>
      </c>
      <c r="C602" t="s">
        <v>9</v>
      </c>
      <c r="D602">
        <v>137854</v>
      </c>
      <c r="E602">
        <v>33</v>
      </c>
      <c r="F602">
        <v>10</v>
      </c>
      <c r="G602">
        <v>47</v>
      </c>
      <c r="H602" t="s">
        <v>10</v>
      </c>
      <c r="I602">
        <v>523.27</v>
      </c>
      <c r="J602" s="1" t="str">
        <f t="shared" si="27"/>
        <v>valid</v>
      </c>
      <c r="K602" t="e">
        <f t="shared" ca="1" si="28"/>
        <v>#NAME?</v>
      </c>
      <c r="L602" t="str">
        <f>IF(E602&gt;=80,"High Value","Normal")</f>
        <v>Normal</v>
      </c>
      <c r="M602" s="2" t="str">
        <f t="shared" si="29"/>
        <v>YES</v>
      </c>
      <c r="N602" t="str">
        <f>VLOOKUP(A602,A601:H1601,8)</f>
        <v>Groceries</v>
      </c>
    </row>
    <row r="603" spans="1:14" x14ac:dyDescent="0.35">
      <c r="A603">
        <v>602</v>
      </c>
      <c r="B603">
        <v>20</v>
      </c>
      <c r="C603" t="s">
        <v>16</v>
      </c>
      <c r="D603">
        <v>145924</v>
      </c>
      <c r="E603">
        <v>64</v>
      </c>
      <c r="F603">
        <v>5</v>
      </c>
      <c r="G603">
        <v>18</v>
      </c>
      <c r="H603" t="s">
        <v>15</v>
      </c>
      <c r="I603">
        <v>495.49</v>
      </c>
      <c r="J603" s="1" t="str">
        <f t="shared" si="27"/>
        <v>valid</v>
      </c>
      <c r="K603" t="e">
        <f t="shared" ca="1" si="28"/>
        <v>#NAME?</v>
      </c>
      <c r="L603" t="str">
        <f>IF(E603&gt;=80,"High Value","Normal")</f>
        <v>Normal</v>
      </c>
      <c r="M603" s="2" t="b">
        <f t="shared" si="29"/>
        <v>0</v>
      </c>
      <c r="N603" t="str">
        <f>VLOOKUP(A603,A602:H1602,8)</f>
        <v>Electronics</v>
      </c>
    </row>
    <row r="604" spans="1:14" x14ac:dyDescent="0.35">
      <c r="A604">
        <v>603</v>
      </c>
      <c r="B604">
        <v>33</v>
      </c>
      <c r="C604" t="s">
        <v>9</v>
      </c>
      <c r="D604">
        <v>53219</v>
      </c>
      <c r="E604">
        <v>33</v>
      </c>
      <c r="F604">
        <v>4</v>
      </c>
      <c r="G604">
        <v>47</v>
      </c>
      <c r="H604" t="s">
        <v>12</v>
      </c>
      <c r="I604">
        <v>251.23</v>
      </c>
      <c r="J604" s="1" t="str">
        <f t="shared" si="27"/>
        <v>valid</v>
      </c>
      <c r="K604" t="e">
        <f t="shared" ca="1" si="28"/>
        <v>#NAME?</v>
      </c>
      <c r="L604" t="str">
        <f>IF(E604&gt;=80,"High Value","Normal")</f>
        <v>Normal</v>
      </c>
      <c r="M604" s="2" t="str">
        <f t="shared" si="29"/>
        <v>YES</v>
      </c>
      <c r="N604" t="str">
        <f>VLOOKUP(A604,A603:H1603,8)</f>
        <v>Clothing</v>
      </c>
    </row>
    <row r="605" spans="1:14" x14ac:dyDescent="0.35">
      <c r="A605">
        <v>604</v>
      </c>
      <c r="B605">
        <v>47</v>
      </c>
      <c r="C605" t="s">
        <v>16</v>
      </c>
      <c r="D605">
        <v>64592</v>
      </c>
      <c r="E605">
        <v>25</v>
      </c>
      <c r="F605">
        <v>4</v>
      </c>
      <c r="G605">
        <v>12</v>
      </c>
      <c r="H605" t="s">
        <v>14</v>
      </c>
      <c r="I605">
        <v>237.34</v>
      </c>
      <c r="J605" s="1" t="str">
        <f t="shared" si="27"/>
        <v>valid</v>
      </c>
      <c r="K605" t="e">
        <f t="shared" ca="1" si="28"/>
        <v>#NAME?</v>
      </c>
      <c r="L605" t="str">
        <f>IF(E605&gt;=80,"High Value","Normal")</f>
        <v>Normal</v>
      </c>
      <c r="M605" s="2" t="b">
        <f t="shared" si="29"/>
        <v>0</v>
      </c>
      <c r="N605" t="str">
        <f>VLOOKUP(A605,A604:H1604,8)</f>
        <v>Home &amp; Garden</v>
      </c>
    </row>
    <row r="606" spans="1:14" x14ac:dyDescent="0.35">
      <c r="A606">
        <v>605</v>
      </c>
      <c r="B606">
        <v>18</v>
      </c>
      <c r="C606" t="s">
        <v>9</v>
      </c>
      <c r="D606">
        <v>144275</v>
      </c>
      <c r="E606">
        <v>69</v>
      </c>
      <c r="F606">
        <v>9</v>
      </c>
      <c r="G606">
        <v>27</v>
      </c>
      <c r="H606" t="s">
        <v>15</v>
      </c>
      <c r="I606">
        <v>141.72</v>
      </c>
      <c r="J606" s="1" t="str">
        <f t="shared" si="27"/>
        <v>valid</v>
      </c>
      <c r="K606" t="e">
        <f t="shared" ca="1" si="28"/>
        <v>#NAME?</v>
      </c>
      <c r="L606" t="str">
        <f>IF(E606&gt;=80,"High Value","Normal")</f>
        <v>Normal</v>
      </c>
      <c r="M606" s="2" t="b">
        <f t="shared" si="29"/>
        <v>0</v>
      </c>
      <c r="N606" t="str">
        <f>VLOOKUP(A606,A605:H1605,8)</f>
        <v>Electronics</v>
      </c>
    </row>
    <row r="607" spans="1:14" x14ac:dyDescent="0.35">
      <c r="A607">
        <v>606</v>
      </c>
      <c r="B607">
        <v>39</v>
      </c>
      <c r="C607" t="s">
        <v>16</v>
      </c>
      <c r="D607">
        <v>48641</v>
      </c>
      <c r="E607">
        <v>45</v>
      </c>
      <c r="F607">
        <v>3</v>
      </c>
      <c r="G607">
        <v>46</v>
      </c>
      <c r="H607" t="s">
        <v>14</v>
      </c>
      <c r="I607">
        <v>415.19</v>
      </c>
      <c r="J607" s="1" t="str">
        <f t="shared" si="27"/>
        <v>valid</v>
      </c>
      <c r="K607" t="e">
        <f t="shared" ca="1" si="28"/>
        <v>#NAME?</v>
      </c>
      <c r="L607" t="str">
        <f>IF(E607&gt;=80,"High Value","Normal")</f>
        <v>Normal</v>
      </c>
      <c r="M607" s="2" t="str">
        <f t="shared" si="29"/>
        <v>YES</v>
      </c>
      <c r="N607" t="str">
        <f>VLOOKUP(A607,A606:H1606,8)</f>
        <v>Home &amp; Garden</v>
      </c>
    </row>
    <row r="608" spans="1:14" x14ac:dyDescent="0.35">
      <c r="A608">
        <v>607</v>
      </c>
      <c r="B608">
        <v>30</v>
      </c>
      <c r="C608" t="s">
        <v>16</v>
      </c>
      <c r="D608">
        <v>102200</v>
      </c>
      <c r="E608">
        <v>88</v>
      </c>
      <c r="F608">
        <v>5</v>
      </c>
      <c r="G608">
        <v>47</v>
      </c>
      <c r="H608" t="s">
        <v>14</v>
      </c>
      <c r="I608">
        <v>131.84</v>
      </c>
      <c r="J608" s="1" t="str">
        <f t="shared" si="27"/>
        <v>valid</v>
      </c>
      <c r="K608" t="e">
        <f t="shared" ca="1" si="28"/>
        <v>#NAME?</v>
      </c>
      <c r="L608" t="str">
        <f>IF(E608&gt;=80,"High Value","Normal")</f>
        <v>High Value</v>
      </c>
      <c r="M608" s="2" t="b">
        <f t="shared" si="29"/>
        <v>0</v>
      </c>
      <c r="N608" t="str">
        <f>VLOOKUP(A608,A607:H1607,8)</f>
        <v>Home &amp; Garden</v>
      </c>
    </row>
    <row r="609" spans="1:14" x14ac:dyDescent="0.35">
      <c r="A609">
        <v>608</v>
      </c>
      <c r="B609">
        <v>41</v>
      </c>
      <c r="C609" t="s">
        <v>13</v>
      </c>
      <c r="D609">
        <v>67215</v>
      </c>
      <c r="E609">
        <v>34</v>
      </c>
      <c r="F609">
        <v>3</v>
      </c>
      <c r="G609">
        <v>30</v>
      </c>
      <c r="H609" t="s">
        <v>14</v>
      </c>
      <c r="I609">
        <v>460.25</v>
      </c>
      <c r="J609" s="1" t="str">
        <f t="shared" si="27"/>
        <v>valid</v>
      </c>
      <c r="K609" t="e">
        <f t="shared" ca="1" si="28"/>
        <v>#NAME?</v>
      </c>
      <c r="L609" t="str">
        <f>IF(E609&gt;=80,"High Value","Normal")</f>
        <v>Normal</v>
      </c>
      <c r="M609" s="2" t="str">
        <f t="shared" si="29"/>
        <v>YES</v>
      </c>
      <c r="N609" t="str">
        <f>VLOOKUP(A609,A608:H1608,8)</f>
        <v>Home &amp; Garden</v>
      </c>
    </row>
    <row r="610" spans="1:14" x14ac:dyDescent="0.35">
      <c r="A610">
        <v>609</v>
      </c>
      <c r="B610">
        <v>53</v>
      </c>
      <c r="C610" t="s">
        <v>13</v>
      </c>
      <c r="D610">
        <v>96499</v>
      </c>
      <c r="E610">
        <v>29</v>
      </c>
      <c r="F610">
        <v>4</v>
      </c>
      <c r="G610">
        <v>5</v>
      </c>
      <c r="H610" t="s">
        <v>15</v>
      </c>
      <c r="I610">
        <v>744.11</v>
      </c>
      <c r="J610" s="1" t="str">
        <f t="shared" si="27"/>
        <v>valid</v>
      </c>
      <c r="K610" t="e">
        <f t="shared" ca="1" si="28"/>
        <v>#NAME?</v>
      </c>
      <c r="L610" t="str">
        <f>IF(E610&gt;=80,"High Value","Normal")</f>
        <v>Normal</v>
      </c>
      <c r="M610" s="2" t="b">
        <f t="shared" si="29"/>
        <v>0</v>
      </c>
      <c r="N610" t="str">
        <f>VLOOKUP(A610,A609:H1609,8)</f>
        <v>Electronics</v>
      </c>
    </row>
    <row r="611" spans="1:14" x14ac:dyDescent="0.35">
      <c r="A611">
        <v>610</v>
      </c>
      <c r="B611">
        <v>23</v>
      </c>
      <c r="C611" t="s">
        <v>9</v>
      </c>
      <c r="D611">
        <v>83912</v>
      </c>
      <c r="E611">
        <v>28</v>
      </c>
      <c r="F611">
        <v>6</v>
      </c>
      <c r="G611">
        <v>31</v>
      </c>
      <c r="H611" t="s">
        <v>14</v>
      </c>
      <c r="I611">
        <v>98.32</v>
      </c>
      <c r="J611" s="1" t="str">
        <f t="shared" si="27"/>
        <v>valid</v>
      </c>
      <c r="K611" t="e">
        <f t="shared" ca="1" si="28"/>
        <v>#NAME?</v>
      </c>
      <c r="L611" t="str">
        <f>IF(E611&gt;=80,"High Value","Normal")</f>
        <v>Normal</v>
      </c>
      <c r="M611" s="2" t="b">
        <f t="shared" si="29"/>
        <v>0</v>
      </c>
      <c r="N611" t="str">
        <f>VLOOKUP(A611,A610:H1610,8)</f>
        <v>Home &amp; Garden</v>
      </c>
    </row>
    <row r="612" spans="1:14" x14ac:dyDescent="0.35">
      <c r="A612">
        <v>611</v>
      </c>
      <c r="B612">
        <v>42</v>
      </c>
      <c r="C612" t="s">
        <v>9</v>
      </c>
      <c r="D612">
        <v>63444</v>
      </c>
      <c r="E612">
        <v>72</v>
      </c>
      <c r="F612">
        <v>4</v>
      </c>
      <c r="G612">
        <v>40</v>
      </c>
      <c r="H612" t="s">
        <v>14</v>
      </c>
      <c r="I612">
        <v>166.45</v>
      </c>
      <c r="J612" s="1" t="str">
        <f t="shared" si="27"/>
        <v>valid</v>
      </c>
      <c r="K612" t="e">
        <f t="shared" ca="1" si="28"/>
        <v>#NAME?</v>
      </c>
      <c r="L612" t="str">
        <f>IF(E612&gt;=80,"High Value","Normal")</f>
        <v>Normal</v>
      </c>
      <c r="M612" s="2" t="str">
        <f t="shared" si="29"/>
        <v>YES</v>
      </c>
      <c r="N612" t="str">
        <f>VLOOKUP(A612,A611:H1611,8)</f>
        <v>Home &amp; Garden</v>
      </c>
    </row>
    <row r="613" spans="1:14" x14ac:dyDescent="0.35">
      <c r="A613">
        <v>612</v>
      </c>
      <c r="B613">
        <v>33</v>
      </c>
      <c r="C613" t="s">
        <v>9</v>
      </c>
      <c r="D613">
        <v>38271</v>
      </c>
      <c r="E613">
        <v>39</v>
      </c>
      <c r="F613">
        <v>10</v>
      </c>
      <c r="G613">
        <v>43</v>
      </c>
      <c r="H613" t="s">
        <v>15</v>
      </c>
      <c r="I613">
        <v>99.52</v>
      </c>
      <c r="J613" s="1" t="str">
        <f t="shared" si="27"/>
        <v>valid</v>
      </c>
      <c r="K613" t="e">
        <f t="shared" ca="1" si="28"/>
        <v>#NAME?</v>
      </c>
      <c r="L613" t="str">
        <f>IF(E613&gt;=80,"High Value","Normal")</f>
        <v>Normal</v>
      </c>
      <c r="M613" s="2" t="str">
        <f t="shared" si="29"/>
        <v>YES</v>
      </c>
      <c r="N613" t="str">
        <f>VLOOKUP(A613,A612:H1612,8)</f>
        <v>Electronics</v>
      </c>
    </row>
    <row r="614" spans="1:14" x14ac:dyDescent="0.35">
      <c r="A614">
        <v>613</v>
      </c>
      <c r="B614">
        <v>60</v>
      </c>
      <c r="C614" t="s">
        <v>13</v>
      </c>
      <c r="D614">
        <v>53295</v>
      </c>
      <c r="E614">
        <v>73</v>
      </c>
      <c r="F614">
        <v>3</v>
      </c>
      <c r="G614">
        <v>5</v>
      </c>
      <c r="H614" t="s">
        <v>14</v>
      </c>
      <c r="I614">
        <v>642.29999999999995</v>
      </c>
      <c r="J614" s="1" t="str">
        <f t="shared" si="27"/>
        <v>valid</v>
      </c>
      <c r="K614" t="e">
        <f t="shared" ca="1" si="28"/>
        <v>#NAME?</v>
      </c>
      <c r="L614" t="str">
        <f>IF(E614&gt;=80,"High Value","Normal")</f>
        <v>Normal</v>
      </c>
      <c r="M614" s="2" t="b">
        <f t="shared" si="29"/>
        <v>0</v>
      </c>
      <c r="N614" t="str">
        <f>VLOOKUP(A614,A613:H1613,8)</f>
        <v>Home &amp; Garden</v>
      </c>
    </row>
    <row r="615" spans="1:14" x14ac:dyDescent="0.35">
      <c r="A615">
        <v>614</v>
      </c>
      <c r="B615">
        <v>64</v>
      </c>
      <c r="C615" t="s">
        <v>9</v>
      </c>
      <c r="D615">
        <v>116106</v>
      </c>
      <c r="E615">
        <v>5</v>
      </c>
      <c r="F615">
        <v>1</v>
      </c>
      <c r="G615">
        <v>5</v>
      </c>
      <c r="H615" t="s">
        <v>12</v>
      </c>
      <c r="I615">
        <v>25.86</v>
      </c>
      <c r="J615" s="1" t="str">
        <f t="shared" si="27"/>
        <v>valid</v>
      </c>
      <c r="K615" t="e">
        <f t="shared" ca="1" si="28"/>
        <v>#NAME?</v>
      </c>
      <c r="L615" t="str">
        <f>IF(E615&gt;=80,"High Value","Normal")</f>
        <v>Normal</v>
      </c>
      <c r="M615" s="2" t="b">
        <f t="shared" si="29"/>
        <v>0</v>
      </c>
      <c r="N615" t="str">
        <f>VLOOKUP(A615,A614:H1614,8)</f>
        <v>Clothing</v>
      </c>
    </row>
    <row r="616" spans="1:14" x14ac:dyDescent="0.35">
      <c r="A616">
        <v>615</v>
      </c>
      <c r="B616">
        <v>69</v>
      </c>
      <c r="C616" t="s">
        <v>16</v>
      </c>
      <c r="D616">
        <v>141965</v>
      </c>
      <c r="E616">
        <v>98</v>
      </c>
      <c r="F616">
        <v>5</v>
      </c>
      <c r="G616">
        <v>35</v>
      </c>
      <c r="H616" t="s">
        <v>15</v>
      </c>
      <c r="I616">
        <v>616.66</v>
      </c>
      <c r="J616" s="1" t="str">
        <f t="shared" si="27"/>
        <v>valid</v>
      </c>
      <c r="K616" t="e">
        <f t="shared" ca="1" si="28"/>
        <v>#NAME?</v>
      </c>
      <c r="L616" t="str">
        <f>IF(E616&gt;=80,"High Value","Normal")</f>
        <v>High Value</v>
      </c>
      <c r="M616" s="2" t="str">
        <f t="shared" si="29"/>
        <v>YES</v>
      </c>
      <c r="N616" t="str">
        <f>VLOOKUP(A616,A615:H1615,8)</f>
        <v>Electronics</v>
      </c>
    </row>
    <row r="617" spans="1:14" x14ac:dyDescent="0.35">
      <c r="A617">
        <v>616</v>
      </c>
      <c r="B617">
        <v>43</v>
      </c>
      <c r="C617" t="s">
        <v>16</v>
      </c>
      <c r="D617">
        <v>38012</v>
      </c>
      <c r="E617">
        <v>55</v>
      </c>
      <c r="F617">
        <v>3</v>
      </c>
      <c r="G617">
        <v>24</v>
      </c>
      <c r="H617" t="s">
        <v>10</v>
      </c>
      <c r="I617">
        <v>943.37</v>
      </c>
      <c r="J617" s="1" t="str">
        <f t="shared" si="27"/>
        <v>valid</v>
      </c>
      <c r="K617" t="e">
        <f t="shared" ca="1" si="28"/>
        <v>#NAME?</v>
      </c>
      <c r="L617" t="str">
        <f>IF(E617&gt;=80,"High Value","Normal")</f>
        <v>Normal</v>
      </c>
      <c r="M617" s="2" t="str">
        <f t="shared" si="29"/>
        <v>YES</v>
      </c>
      <c r="N617" t="str">
        <f>VLOOKUP(A617,A616:H1616,8)</f>
        <v>Groceries</v>
      </c>
    </row>
    <row r="618" spans="1:14" x14ac:dyDescent="0.35">
      <c r="A618">
        <v>617</v>
      </c>
      <c r="B618">
        <v>29</v>
      </c>
      <c r="C618" t="s">
        <v>13</v>
      </c>
      <c r="D618">
        <v>83172</v>
      </c>
      <c r="E618">
        <v>51</v>
      </c>
      <c r="F618">
        <v>8</v>
      </c>
      <c r="G618">
        <v>1</v>
      </c>
      <c r="H618" t="s">
        <v>12</v>
      </c>
      <c r="I618">
        <v>906.75</v>
      </c>
      <c r="J618" s="1" t="str">
        <f t="shared" si="27"/>
        <v>valid</v>
      </c>
      <c r="K618" t="e">
        <f t="shared" ca="1" si="28"/>
        <v>#NAME?</v>
      </c>
      <c r="L618" t="str">
        <f>IF(E618&gt;=80,"High Value","Normal")</f>
        <v>Normal</v>
      </c>
      <c r="M618" s="2" t="b">
        <f t="shared" si="29"/>
        <v>0</v>
      </c>
      <c r="N618" t="str">
        <f>VLOOKUP(A618,A617:H1617,8)</f>
        <v>Clothing</v>
      </c>
    </row>
    <row r="619" spans="1:14" x14ac:dyDescent="0.35">
      <c r="A619">
        <v>618</v>
      </c>
      <c r="B619">
        <v>53</v>
      </c>
      <c r="C619" t="s">
        <v>13</v>
      </c>
      <c r="D619">
        <v>62024</v>
      </c>
      <c r="E619">
        <v>13</v>
      </c>
      <c r="F619">
        <v>2</v>
      </c>
      <c r="G619">
        <v>39</v>
      </c>
      <c r="H619" t="s">
        <v>11</v>
      </c>
      <c r="I619">
        <v>66.599999999999994</v>
      </c>
      <c r="J619" s="1" t="str">
        <f t="shared" si="27"/>
        <v>valid</v>
      </c>
      <c r="K619" t="e">
        <f t="shared" ca="1" si="28"/>
        <v>#NAME?</v>
      </c>
      <c r="L619" t="str">
        <f>IF(E619&gt;=80,"High Value","Normal")</f>
        <v>Normal</v>
      </c>
      <c r="M619" s="2" t="str">
        <f t="shared" si="29"/>
        <v>YES</v>
      </c>
      <c r="N619" t="str">
        <f>VLOOKUP(A619,A618:H1618,8)</f>
        <v>Sports</v>
      </c>
    </row>
    <row r="620" spans="1:14" x14ac:dyDescent="0.35">
      <c r="A620">
        <v>619</v>
      </c>
      <c r="B620">
        <v>29</v>
      </c>
      <c r="C620" t="s">
        <v>13</v>
      </c>
      <c r="D620">
        <v>88288</v>
      </c>
      <c r="E620">
        <v>39</v>
      </c>
      <c r="F620">
        <v>5</v>
      </c>
      <c r="G620">
        <v>50</v>
      </c>
      <c r="H620" t="s">
        <v>10</v>
      </c>
      <c r="I620">
        <v>803.87</v>
      </c>
      <c r="J620" s="1" t="str">
        <f t="shared" si="27"/>
        <v>valid</v>
      </c>
      <c r="K620" t="e">
        <f t="shared" ca="1" si="28"/>
        <v>#NAME?</v>
      </c>
      <c r="L620" t="str">
        <f>IF(E620&gt;=80,"High Value","Normal")</f>
        <v>Normal</v>
      </c>
      <c r="M620" s="2" t="b">
        <f t="shared" si="29"/>
        <v>0</v>
      </c>
      <c r="N620" t="str">
        <f>VLOOKUP(A620,A619:H1619,8)</f>
        <v>Groceries</v>
      </c>
    </row>
    <row r="621" spans="1:14" x14ac:dyDescent="0.35">
      <c r="A621">
        <v>620</v>
      </c>
      <c r="B621">
        <v>53</v>
      </c>
      <c r="C621" t="s">
        <v>13</v>
      </c>
      <c r="D621">
        <v>50215</v>
      </c>
      <c r="E621">
        <v>92</v>
      </c>
      <c r="F621">
        <v>6</v>
      </c>
      <c r="G621">
        <v>48</v>
      </c>
      <c r="H621" t="s">
        <v>11</v>
      </c>
      <c r="I621">
        <v>814.52</v>
      </c>
      <c r="J621" s="1" t="str">
        <f t="shared" si="27"/>
        <v>valid</v>
      </c>
      <c r="K621" t="e">
        <f t="shared" ca="1" si="28"/>
        <v>#NAME?</v>
      </c>
      <c r="L621" t="str">
        <f>IF(E621&gt;=80,"High Value","Normal")</f>
        <v>High Value</v>
      </c>
      <c r="M621" s="2" t="str">
        <f t="shared" si="29"/>
        <v>YES</v>
      </c>
      <c r="N621" t="str">
        <f>VLOOKUP(A621,A620:H1620,8)</f>
        <v>Sports</v>
      </c>
    </row>
    <row r="622" spans="1:14" x14ac:dyDescent="0.35">
      <c r="A622">
        <v>621</v>
      </c>
      <c r="B622">
        <v>20</v>
      </c>
      <c r="C622" t="s">
        <v>16</v>
      </c>
      <c r="D622">
        <v>122028</v>
      </c>
      <c r="E622">
        <v>40</v>
      </c>
      <c r="F622">
        <v>3</v>
      </c>
      <c r="G622">
        <v>6</v>
      </c>
      <c r="H622" t="s">
        <v>15</v>
      </c>
      <c r="I622">
        <v>777.44</v>
      </c>
      <c r="J622" s="1" t="str">
        <f t="shared" si="27"/>
        <v>valid</v>
      </c>
      <c r="K622" t="e">
        <f t="shared" ca="1" si="28"/>
        <v>#NAME?</v>
      </c>
      <c r="L622" t="str">
        <f>IF(E622&gt;=80,"High Value","Normal")</f>
        <v>Normal</v>
      </c>
      <c r="M622" s="2" t="b">
        <f t="shared" si="29"/>
        <v>0</v>
      </c>
      <c r="N622" t="str">
        <f>VLOOKUP(A622,A621:H1621,8)</f>
        <v>Electronics</v>
      </c>
    </row>
    <row r="623" spans="1:14" x14ac:dyDescent="0.35">
      <c r="A623">
        <v>622</v>
      </c>
      <c r="B623">
        <v>33</v>
      </c>
      <c r="C623" t="s">
        <v>13</v>
      </c>
      <c r="D623">
        <v>102269</v>
      </c>
      <c r="E623">
        <v>26</v>
      </c>
      <c r="F623">
        <v>8</v>
      </c>
      <c r="G623">
        <v>47</v>
      </c>
      <c r="H623" t="s">
        <v>11</v>
      </c>
      <c r="I623">
        <v>356.67</v>
      </c>
      <c r="J623" s="1" t="str">
        <f t="shared" si="27"/>
        <v>valid</v>
      </c>
      <c r="K623" t="e">
        <f t="shared" ca="1" si="28"/>
        <v>#NAME?</v>
      </c>
      <c r="L623" t="str">
        <f>IF(E623&gt;=80,"High Value","Normal")</f>
        <v>Normal</v>
      </c>
      <c r="M623" s="2" t="str">
        <f t="shared" si="29"/>
        <v>YES</v>
      </c>
      <c r="N623" t="str">
        <f>VLOOKUP(A623,A622:H1622,8)</f>
        <v>Sports</v>
      </c>
    </row>
    <row r="624" spans="1:14" x14ac:dyDescent="0.35">
      <c r="A624">
        <v>623</v>
      </c>
      <c r="B624">
        <v>30</v>
      </c>
      <c r="C624" t="s">
        <v>9</v>
      </c>
      <c r="D624">
        <v>97829</v>
      </c>
      <c r="E624">
        <v>99</v>
      </c>
      <c r="F624">
        <v>4</v>
      </c>
      <c r="G624">
        <v>27</v>
      </c>
      <c r="H624" t="s">
        <v>12</v>
      </c>
      <c r="I624">
        <v>320.95</v>
      </c>
      <c r="J624" s="1" t="str">
        <f t="shared" si="27"/>
        <v>valid</v>
      </c>
      <c r="K624" t="e">
        <f t="shared" ca="1" si="28"/>
        <v>#NAME?</v>
      </c>
      <c r="L624" t="str">
        <f>IF(E624&gt;=80,"High Value","Normal")</f>
        <v>High Value</v>
      </c>
      <c r="M624" s="2" t="b">
        <f t="shared" si="29"/>
        <v>0</v>
      </c>
      <c r="N624" t="str">
        <f>VLOOKUP(A624,A623:H1623,8)</f>
        <v>Clothing</v>
      </c>
    </row>
    <row r="625" spans="1:14" x14ac:dyDescent="0.35">
      <c r="A625">
        <v>624</v>
      </c>
      <c r="B625">
        <v>59</v>
      </c>
      <c r="C625" t="s">
        <v>13</v>
      </c>
      <c r="D625">
        <v>66196</v>
      </c>
      <c r="E625">
        <v>37</v>
      </c>
      <c r="F625">
        <v>9</v>
      </c>
      <c r="G625">
        <v>44</v>
      </c>
      <c r="H625" t="s">
        <v>12</v>
      </c>
      <c r="I625">
        <v>483.66</v>
      </c>
      <c r="J625" s="1" t="str">
        <f t="shared" si="27"/>
        <v>valid</v>
      </c>
      <c r="K625" t="e">
        <f t="shared" ca="1" si="28"/>
        <v>#NAME?</v>
      </c>
      <c r="L625" t="str">
        <f>IF(E625&gt;=80,"High Value","Normal")</f>
        <v>Normal</v>
      </c>
      <c r="M625" s="2" t="str">
        <f t="shared" si="29"/>
        <v>YES</v>
      </c>
      <c r="N625" t="str">
        <f>VLOOKUP(A625,A624:H1624,8)</f>
        <v>Clothing</v>
      </c>
    </row>
    <row r="626" spans="1:14" x14ac:dyDescent="0.35">
      <c r="A626">
        <v>625</v>
      </c>
      <c r="B626">
        <v>41</v>
      </c>
      <c r="C626" t="s">
        <v>16</v>
      </c>
      <c r="D626">
        <v>36763</v>
      </c>
      <c r="E626">
        <v>50</v>
      </c>
      <c r="F626">
        <v>5</v>
      </c>
      <c r="G626">
        <v>36</v>
      </c>
      <c r="H626" t="s">
        <v>14</v>
      </c>
      <c r="I626">
        <v>490.62</v>
      </c>
      <c r="J626" s="1" t="str">
        <f t="shared" si="27"/>
        <v>valid</v>
      </c>
      <c r="K626" t="e">
        <f t="shared" ca="1" si="28"/>
        <v>#NAME?</v>
      </c>
      <c r="L626" t="str">
        <f>IF(E626&gt;=80,"High Value","Normal")</f>
        <v>Normal</v>
      </c>
      <c r="M626" s="2" t="str">
        <f t="shared" si="29"/>
        <v>YES</v>
      </c>
      <c r="N626" t="str">
        <f>VLOOKUP(A626,A625:H1625,8)</f>
        <v>Home &amp; Garden</v>
      </c>
    </row>
    <row r="627" spans="1:14" x14ac:dyDescent="0.35">
      <c r="A627">
        <v>626</v>
      </c>
      <c r="B627">
        <v>19</v>
      </c>
      <c r="C627" t="s">
        <v>16</v>
      </c>
      <c r="D627">
        <v>138008</v>
      </c>
      <c r="E627">
        <v>8</v>
      </c>
      <c r="F627">
        <v>9</v>
      </c>
      <c r="G627">
        <v>15</v>
      </c>
      <c r="H627" t="s">
        <v>10</v>
      </c>
      <c r="I627">
        <v>116.8</v>
      </c>
      <c r="J627" s="1" t="str">
        <f t="shared" si="27"/>
        <v>valid</v>
      </c>
      <c r="K627" t="e">
        <f t="shared" ca="1" si="28"/>
        <v>#NAME?</v>
      </c>
      <c r="L627" t="str">
        <f>IF(E627&gt;=80,"High Value","Normal")</f>
        <v>Normal</v>
      </c>
      <c r="M627" s="2" t="b">
        <f t="shared" si="29"/>
        <v>0</v>
      </c>
      <c r="N627" t="str">
        <f>VLOOKUP(A627,A626:H1626,8)</f>
        <v>Groceries</v>
      </c>
    </row>
    <row r="628" spans="1:14" x14ac:dyDescent="0.35">
      <c r="A628">
        <v>627</v>
      </c>
      <c r="B628">
        <v>27</v>
      </c>
      <c r="C628" t="s">
        <v>9</v>
      </c>
      <c r="D628">
        <v>96762</v>
      </c>
      <c r="E628">
        <v>22</v>
      </c>
      <c r="F628">
        <v>3</v>
      </c>
      <c r="G628">
        <v>10</v>
      </c>
      <c r="H628" t="s">
        <v>15</v>
      </c>
      <c r="I628">
        <v>551.42999999999995</v>
      </c>
      <c r="J628" s="1" t="str">
        <f t="shared" si="27"/>
        <v>valid</v>
      </c>
      <c r="K628" t="e">
        <f t="shared" ca="1" si="28"/>
        <v>#NAME?</v>
      </c>
      <c r="L628" t="str">
        <f>IF(E628&gt;=80,"High Value","Normal")</f>
        <v>Normal</v>
      </c>
      <c r="M628" s="2" t="b">
        <f t="shared" si="29"/>
        <v>0</v>
      </c>
      <c r="N628" t="str">
        <f>VLOOKUP(A628,A627:H1627,8)</f>
        <v>Electronics</v>
      </c>
    </row>
    <row r="629" spans="1:14" x14ac:dyDescent="0.35">
      <c r="A629">
        <v>628</v>
      </c>
      <c r="B629">
        <v>39</v>
      </c>
      <c r="C629" t="s">
        <v>13</v>
      </c>
      <c r="D629">
        <v>108744</v>
      </c>
      <c r="E629">
        <v>63</v>
      </c>
      <c r="F629">
        <v>2</v>
      </c>
      <c r="G629">
        <v>23</v>
      </c>
      <c r="H629" t="s">
        <v>11</v>
      </c>
      <c r="I629">
        <v>411.86</v>
      </c>
      <c r="J629" s="1" t="str">
        <f t="shared" si="27"/>
        <v>valid</v>
      </c>
      <c r="K629" t="e">
        <f t="shared" ca="1" si="28"/>
        <v>#NAME?</v>
      </c>
      <c r="L629" t="str">
        <f>IF(E629&gt;=80,"High Value","Normal")</f>
        <v>Normal</v>
      </c>
      <c r="M629" s="2" t="str">
        <f t="shared" si="29"/>
        <v>YES</v>
      </c>
      <c r="N629" t="str">
        <f>VLOOKUP(A629,A628:H1628,8)</f>
        <v>Sports</v>
      </c>
    </row>
    <row r="630" spans="1:14" x14ac:dyDescent="0.35">
      <c r="A630">
        <v>629</v>
      </c>
      <c r="B630">
        <v>65</v>
      </c>
      <c r="C630" t="s">
        <v>16</v>
      </c>
      <c r="D630">
        <v>84223</v>
      </c>
      <c r="E630">
        <v>83</v>
      </c>
      <c r="F630">
        <v>7</v>
      </c>
      <c r="G630">
        <v>46</v>
      </c>
      <c r="H630" t="s">
        <v>10</v>
      </c>
      <c r="I630">
        <v>971.93</v>
      </c>
      <c r="J630" s="1" t="str">
        <f t="shared" si="27"/>
        <v>valid</v>
      </c>
      <c r="K630" t="e">
        <f t="shared" ca="1" si="28"/>
        <v>#NAME?</v>
      </c>
      <c r="L630" t="str">
        <f>IF(E630&gt;=80,"High Value","Normal")</f>
        <v>High Value</v>
      </c>
      <c r="M630" s="2" t="str">
        <f t="shared" si="29"/>
        <v>YES</v>
      </c>
      <c r="N630" t="str">
        <f>VLOOKUP(A630,A629:H1629,8)</f>
        <v>Groceries</v>
      </c>
    </row>
    <row r="631" spans="1:14" x14ac:dyDescent="0.35">
      <c r="A631">
        <v>630</v>
      </c>
      <c r="B631">
        <v>64</v>
      </c>
      <c r="C631" t="s">
        <v>9</v>
      </c>
      <c r="D631">
        <v>145746</v>
      </c>
      <c r="E631">
        <v>76</v>
      </c>
      <c r="F631">
        <v>2</v>
      </c>
      <c r="G631">
        <v>48</v>
      </c>
      <c r="H631" t="s">
        <v>14</v>
      </c>
      <c r="I631">
        <v>49.06</v>
      </c>
      <c r="J631" s="1" t="str">
        <f t="shared" si="27"/>
        <v>valid</v>
      </c>
      <c r="K631" t="e">
        <f t="shared" ca="1" si="28"/>
        <v>#NAME?</v>
      </c>
      <c r="L631" t="str">
        <f>IF(E631&gt;=80,"High Value","Normal")</f>
        <v>Normal</v>
      </c>
      <c r="M631" s="2" t="str">
        <f t="shared" si="29"/>
        <v>YES</v>
      </c>
      <c r="N631" t="str">
        <f>VLOOKUP(A631,A630:H1630,8)</f>
        <v>Home &amp; Garden</v>
      </c>
    </row>
    <row r="632" spans="1:14" x14ac:dyDescent="0.35">
      <c r="A632">
        <v>631</v>
      </c>
      <c r="B632">
        <v>47</v>
      </c>
      <c r="C632" t="s">
        <v>9</v>
      </c>
      <c r="D632">
        <v>108766</v>
      </c>
      <c r="E632">
        <v>37</v>
      </c>
      <c r="F632">
        <v>7</v>
      </c>
      <c r="G632">
        <v>38</v>
      </c>
      <c r="H632" t="s">
        <v>10</v>
      </c>
      <c r="I632">
        <v>640.54999999999995</v>
      </c>
      <c r="J632" s="1" t="str">
        <f t="shared" si="27"/>
        <v>valid</v>
      </c>
      <c r="K632" t="e">
        <f t="shared" ca="1" si="28"/>
        <v>#NAME?</v>
      </c>
      <c r="L632" t="str">
        <f>IF(E632&gt;=80,"High Value","Normal")</f>
        <v>Normal</v>
      </c>
      <c r="M632" s="2" t="str">
        <f t="shared" si="29"/>
        <v>YES</v>
      </c>
      <c r="N632" t="str">
        <f>VLOOKUP(A632,A631:H1631,8)</f>
        <v>Groceries</v>
      </c>
    </row>
    <row r="633" spans="1:14" x14ac:dyDescent="0.35">
      <c r="A633">
        <v>632</v>
      </c>
      <c r="B633">
        <v>29</v>
      </c>
      <c r="C633" t="s">
        <v>9</v>
      </c>
      <c r="D633">
        <v>72125</v>
      </c>
      <c r="E633">
        <v>41</v>
      </c>
      <c r="F633">
        <v>5</v>
      </c>
      <c r="G633">
        <v>31</v>
      </c>
      <c r="H633" t="s">
        <v>11</v>
      </c>
      <c r="I633">
        <v>507.62</v>
      </c>
      <c r="J633" s="1" t="str">
        <f t="shared" si="27"/>
        <v>valid</v>
      </c>
      <c r="K633" t="e">
        <f t="shared" ca="1" si="28"/>
        <v>#NAME?</v>
      </c>
      <c r="L633" t="str">
        <f>IF(E633&gt;=80,"High Value","Normal")</f>
        <v>Normal</v>
      </c>
      <c r="M633" s="2" t="b">
        <f t="shared" si="29"/>
        <v>0</v>
      </c>
      <c r="N633" t="str">
        <f>VLOOKUP(A633,A632:H1632,8)</f>
        <v>Sports</v>
      </c>
    </row>
    <row r="634" spans="1:14" x14ac:dyDescent="0.35">
      <c r="A634">
        <v>633</v>
      </c>
      <c r="B634">
        <v>43</v>
      </c>
      <c r="C634" t="s">
        <v>9</v>
      </c>
      <c r="D634">
        <v>97989</v>
      </c>
      <c r="E634">
        <v>14</v>
      </c>
      <c r="F634">
        <v>6</v>
      </c>
      <c r="G634">
        <v>49</v>
      </c>
      <c r="H634" t="s">
        <v>15</v>
      </c>
      <c r="I634">
        <v>886.61</v>
      </c>
      <c r="J634" s="1" t="str">
        <f t="shared" si="27"/>
        <v>valid</v>
      </c>
      <c r="K634" t="e">
        <f t="shared" ca="1" si="28"/>
        <v>#NAME?</v>
      </c>
      <c r="L634" t="str">
        <f>IF(E634&gt;=80,"High Value","Normal")</f>
        <v>Normal</v>
      </c>
      <c r="M634" s="2" t="str">
        <f t="shared" si="29"/>
        <v>YES</v>
      </c>
      <c r="N634" t="str">
        <f>VLOOKUP(A634,A633:H1633,8)</f>
        <v>Electronics</v>
      </c>
    </row>
    <row r="635" spans="1:14" x14ac:dyDescent="0.35">
      <c r="A635">
        <v>634</v>
      </c>
      <c r="B635">
        <v>51</v>
      </c>
      <c r="C635" t="s">
        <v>13</v>
      </c>
      <c r="D635">
        <v>143678</v>
      </c>
      <c r="E635">
        <v>50</v>
      </c>
      <c r="F635">
        <v>8</v>
      </c>
      <c r="G635">
        <v>23</v>
      </c>
      <c r="H635" t="s">
        <v>15</v>
      </c>
      <c r="I635">
        <v>916.04</v>
      </c>
      <c r="J635" s="1" t="str">
        <f t="shared" si="27"/>
        <v>valid</v>
      </c>
      <c r="K635" t="e">
        <f t="shared" ca="1" si="28"/>
        <v>#NAME?</v>
      </c>
      <c r="L635" t="str">
        <f>IF(E635&gt;=80,"High Value","Normal")</f>
        <v>Normal</v>
      </c>
      <c r="M635" s="2" t="str">
        <f t="shared" si="29"/>
        <v>YES</v>
      </c>
      <c r="N635" t="str">
        <f>VLOOKUP(A635,A634:H1634,8)</f>
        <v>Electronics</v>
      </c>
    </row>
    <row r="636" spans="1:14" x14ac:dyDescent="0.35">
      <c r="A636">
        <v>635</v>
      </c>
      <c r="B636">
        <v>23</v>
      </c>
      <c r="C636" t="s">
        <v>9</v>
      </c>
      <c r="D636">
        <v>122669</v>
      </c>
      <c r="E636">
        <v>15</v>
      </c>
      <c r="F636">
        <v>3</v>
      </c>
      <c r="G636">
        <v>4</v>
      </c>
      <c r="H636" t="s">
        <v>15</v>
      </c>
      <c r="I636">
        <v>248.68</v>
      </c>
      <c r="J636" s="1" t="str">
        <f t="shared" si="27"/>
        <v>valid</v>
      </c>
      <c r="K636" t="e">
        <f t="shared" ca="1" si="28"/>
        <v>#NAME?</v>
      </c>
      <c r="L636" t="str">
        <f>IF(E636&gt;=80,"High Value","Normal")</f>
        <v>Normal</v>
      </c>
      <c r="M636" s="2" t="b">
        <f t="shared" si="29"/>
        <v>0</v>
      </c>
      <c r="N636" t="str">
        <f>VLOOKUP(A636,A635:H1635,8)</f>
        <v>Electronics</v>
      </c>
    </row>
    <row r="637" spans="1:14" x14ac:dyDescent="0.35">
      <c r="A637">
        <v>636</v>
      </c>
      <c r="B637">
        <v>24</v>
      </c>
      <c r="C637" t="s">
        <v>9</v>
      </c>
      <c r="D637">
        <v>93266</v>
      </c>
      <c r="E637">
        <v>20</v>
      </c>
      <c r="F637">
        <v>1</v>
      </c>
      <c r="G637">
        <v>4</v>
      </c>
      <c r="H637" t="s">
        <v>12</v>
      </c>
      <c r="I637">
        <v>636.29</v>
      </c>
      <c r="J637" s="1" t="str">
        <f t="shared" si="27"/>
        <v>valid</v>
      </c>
      <c r="K637" t="e">
        <f t="shared" ca="1" si="28"/>
        <v>#NAME?</v>
      </c>
      <c r="L637" t="str">
        <f>IF(E637&gt;=80,"High Value","Normal")</f>
        <v>Normal</v>
      </c>
      <c r="M637" s="2" t="b">
        <f t="shared" si="29"/>
        <v>0</v>
      </c>
      <c r="N637" t="str">
        <f>VLOOKUP(A637,A636:H1636,8)</f>
        <v>Clothing</v>
      </c>
    </row>
    <row r="638" spans="1:14" x14ac:dyDescent="0.35">
      <c r="A638">
        <v>637</v>
      </c>
      <c r="B638">
        <v>52</v>
      </c>
      <c r="C638" t="s">
        <v>13</v>
      </c>
      <c r="D638">
        <v>85267</v>
      </c>
      <c r="E638">
        <v>6</v>
      </c>
      <c r="F638">
        <v>5</v>
      </c>
      <c r="G638">
        <v>2</v>
      </c>
      <c r="H638" t="s">
        <v>14</v>
      </c>
      <c r="I638">
        <v>704.32</v>
      </c>
      <c r="J638" s="1" t="str">
        <f t="shared" si="27"/>
        <v>valid</v>
      </c>
      <c r="K638" t="e">
        <f t="shared" ca="1" si="28"/>
        <v>#NAME?</v>
      </c>
      <c r="L638" t="str">
        <f>IF(E638&gt;=80,"High Value","Normal")</f>
        <v>Normal</v>
      </c>
      <c r="M638" s="2" t="b">
        <f t="shared" si="29"/>
        <v>0</v>
      </c>
      <c r="N638" t="str">
        <f>VLOOKUP(A638,A637:H1637,8)</f>
        <v>Home &amp; Garden</v>
      </c>
    </row>
    <row r="639" spans="1:14" x14ac:dyDescent="0.35">
      <c r="A639">
        <v>638</v>
      </c>
      <c r="B639">
        <v>34</v>
      </c>
      <c r="C639" t="s">
        <v>9</v>
      </c>
      <c r="D639">
        <v>60489</v>
      </c>
      <c r="E639">
        <v>95</v>
      </c>
      <c r="F639">
        <v>3</v>
      </c>
      <c r="G639">
        <v>38</v>
      </c>
      <c r="H639" t="s">
        <v>14</v>
      </c>
      <c r="I639">
        <v>304.86</v>
      </c>
      <c r="J639" s="1" t="str">
        <f t="shared" si="27"/>
        <v>valid</v>
      </c>
      <c r="K639" t="e">
        <f t="shared" ca="1" si="28"/>
        <v>#NAME?</v>
      </c>
      <c r="L639" t="str">
        <f>IF(E639&gt;=80,"High Value","Normal")</f>
        <v>High Value</v>
      </c>
      <c r="M639" s="2" t="str">
        <f t="shared" si="29"/>
        <v>YES</v>
      </c>
      <c r="N639" t="str">
        <f>VLOOKUP(A639,A638:H1638,8)</f>
        <v>Home &amp; Garden</v>
      </c>
    </row>
    <row r="640" spans="1:14" x14ac:dyDescent="0.35">
      <c r="A640">
        <v>639</v>
      </c>
      <c r="B640">
        <v>68</v>
      </c>
      <c r="C640" t="s">
        <v>16</v>
      </c>
      <c r="D640">
        <v>57700</v>
      </c>
      <c r="E640">
        <v>70</v>
      </c>
      <c r="F640">
        <v>8</v>
      </c>
      <c r="G640">
        <v>46</v>
      </c>
      <c r="H640" t="s">
        <v>10</v>
      </c>
      <c r="I640">
        <v>178.21</v>
      </c>
      <c r="J640" s="1" t="str">
        <f t="shared" si="27"/>
        <v>valid</v>
      </c>
      <c r="K640" t="e">
        <f t="shared" ca="1" si="28"/>
        <v>#NAME?</v>
      </c>
      <c r="L640" t="str">
        <f>IF(E640&gt;=80,"High Value","Normal")</f>
        <v>Normal</v>
      </c>
      <c r="M640" s="2" t="str">
        <f t="shared" si="29"/>
        <v>YES</v>
      </c>
      <c r="N640" t="str">
        <f>VLOOKUP(A640,A639:H1639,8)</f>
        <v>Groceries</v>
      </c>
    </row>
    <row r="641" spans="1:14" x14ac:dyDescent="0.35">
      <c r="A641">
        <v>640</v>
      </c>
      <c r="B641">
        <v>57</v>
      </c>
      <c r="C641" t="s">
        <v>16</v>
      </c>
      <c r="D641">
        <v>97035</v>
      </c>
      <c r="E641">
        <v>28</v>
      </c>
      <c r="F641">
        <v>6</v>
      </c>
      <c r="G641">
        <v>42</v>
      </c>
      <c r="H641" t="s">
        <v>14</v>
      </c>
      <c r="I641">
        <v>741.41</v>
      </c>
      <c r="J641" s="1" t="str">
        <f t="shared" si="27"/>
        <v>valid</v>
      </c>
      <c r="K641" t="e">
        <f t="shared" ca="1" si="28"/>
        <v>#NAME?</v>
      </c>
      <c r="L641" t="str">
        <f>IF(E641&gt;=80,"High Value","Normal")</f>
        <v>Normal</v>
      </c>
      <c r="M641" s="2" t="str">
        <f t="shared" si="29"/>
        <v>YES</v>
      </c>
      <c r="N641" t="str">
        <f>VLOOKUP(A641,A640:H1640,8)</f>
        <v>Home &amp; Garden</v>
      </c>
    </row>
    <row r="642" spans="1:14" x14ac:dyDescent="0.35">
      <c r="A642">
        <v>641</v>
      </c>
      <c r="B642">
        <v>59</v>
      </c>
      <c r="C642" t="s">
        <v>13</v>
      </c>
      <c r="D642">
        <v>141667</v>
      </c>
      <c r="E642">
        <v>28</v>
      </c>
      <c r="F642">
        <v>4</v>
      </c>
      <c r="G642">
        <v>5</v>
      </c>
      <c r="H642" t="s">
        <v>11</v>
      </c>
      <c r="I642">
        <v>204.25</v>
      </c>
      <c r="J642" s="1" t="str">
        <f t="shared" si="27"/>
        <v>valid</v>
      </c>
      <c r="K642" t="e">
        <f t="shared" ca="1" si="28"/>
        <v>#NAME?</v>
      </c>
      <c r="L642" t="str">
        <f>IF(E642&gt;=80,"High Value","Normal")</f>
        <v>Normal</v>
      </c>
      <c r="M642" s="2" t="b">
        <f t="shared" si="29"/>
        <v>0</v>
      </c>
      <c r="N642" t="str">
        <f>VLOOKUP(A642,A641:H1641,8)</f>
        <v>Sports</v>
      </c>
    </row>
    <row r="643" spans="1:14" x14ac:dyDescent="0.35">
      <c r="A643">
        <v>642</v>
      </c>
      <c r="B643">
        <v>34</v>
      </c>
      <c r="C643" t="s">
        <v>9</v>
      </c>
      <c r="D643">
        <v>114408</v>
      </c>
      <c r="E643">
        <v>38</v>
      </c>
      <c r="F643">
        <v>7</v>
      </c>
      <c r="G643">
        <v>28</v>
      </c>
      <c r="H643" t="s">
        <v>15</v>
      </c>
      <c r="I643">
        <v>647.35</v>
      </c>
      <c r="J643" s="1" t="str">
        <f t="shared" ref="J643:J706" si="30">IF(AND(B643&gt;=18, B643&lt;=100), "valid", "invalid")</f>
        <v>valid</v>
      </c>
      <c r="K643" t="e">
        <f t="shared" ref="K643:K706" ca="1" si="31">IFS(OR(C643= "Female",C643="female",C643= "F"), "Female", OR(C643="Male", C643="male",C643= "M"), "Male", TRUE, "Other")</f>
        <v>#NAME?</v>
      </c>
      <c r="L643" t="str">
        <f>IF(E643&gt;=80,"High Value","Normal")</f>
        <v>Normal</v>
      </c>
      <c r="M643" s="2" t="str">
        <f t="shared" ref="M643:M706" si="32">IF(AND(B643&gt;30,G643&gt;20), "YES")</f>
        <v>YES</v>
      </c>
      <c r="N643" t="str">
        <f>VLOOKUP(A643,A642:H1642,8)</f>
        <v>Electronics</v>
      </c>
    </row>
    <row r="644" spans="1:14" x14ac:dyDescent="0.35">
      <c r="A644">
        <v>643</v>
      </c>
      <c r="B644">
        <v>64</v>
      </c>
      <c r="C644" t="s">
        <v>9</v>
      </c>
      <c r="D644">
        <v>92888</v>
      </c>
      <c r="E644">
        <v>2</v>
      </c>
      <c r="F644">
        <v>7</v>
      </c>
      <c r="G644">
        <v>50</v>
      </c>
      <c r="H644" t="s">
        <v>11</v>
      </c>
      <c r="I644">
        <v>84.98</v>
      </c>
      <c r="J644" s="1" t="str">
        <f t="shared" si="30"/>
        <v>valid</v>
      </c>
      <c r="K644" t="e">
        <f t="shared" ca="1" si="31"/>
        <v>#NAME?</v>
      </c>
      <c r="L644" t="str">
        <f>IF(E644&gt;=80,"High Value","Normal")</f>
        <v>Normal</v>
      </c>
      <c r="M644" s="2" t="str">
        <f t="shared" si="32"/>
        <v>YES</v>
      </c>
      <c r="N644" t="str">
        <f>VLOOKUP(A644,A643:H1643,8)</f>
        <v>Sports</v>
      </c>
    </row>
    <row r="645" spans="1:14" x14ac:dyDescent="0.35">
      <c r="A645">
        <v>644</v>
      </c>
      <c r="B645">
        <v>54</v>
      </c>
      <c r="C645" t="s">
        <v>16</v>
      </c>
      <c r="D645">
        <v>132403</v>
      </c>
      <c r="E645">
        <v>83</v>
      </c>
      <c r="F645">
        <v>3</v>
      </c>
      <c r="G645">
        <v>2</v>
      </c>
      <c r="H645" t="s">
        <v>11</v>
      </c>
      <c r="I645">
        <v>45.2</v>
      </c>
      <c r="J645" s="1" t="str">
        <f t="shared" si="30"/>
        <v>valid</v>
      </c>
      <c r="K645" t="e">
        <f t="shared" ca="1" si="31"/>
        <v>#NAME?</v>
      </c>
      <c r="L645" t="str">
        <f>IF(E645&gt;=80,"High Value","Normal")</f>
        <v>High Value</v>
      </c>
      <c r="M645" s="2" t="b">
        <f t="shared" si="32"/>
        <v>0</v>
      </c>
      <c r="N645" t="str">
        <f>VLOOKUP(A645,A644:H1644,8)</f>
        <v>Sports</v>
      </c>
    </row>
    <row r="646" spans="1:14" x14ac:dyDescent="0.35">
      <c r="A646">
        <v>645</v>
      </c>
      <c r="B646">
        <v>67</v>
      </c>
      <c r="C646" t="s">
        <v>13</v>
      </c>
      <c r="D646">
        <v>115578</v>
      </c>
      <c r="E646">
        <v>10</v>
      </c>
      <c r="F646">
        <v>1</v>
      </c>
      <c r="G646">
        <v>36</v>
      </c>
      <c r="H646" t="s">
        <v>10</v>
      </c>
      <c r="I646">
        <v>646.16</v>
      </c>
      <c r="J646" s="1" t="str">
        <f t="shared" si="30"/>
        <v>valid</v>
      </c>
      <c r="K646" t="e">
        <f t="shared" ca="1" si="31"/>
        <v>#NAME?</v>
      </c>
      <c r="L646" t="str">
        <f>IF(E646&gt;=80,"High Value","Normal")</f>
        <v>Normal</v>
      </c>
      <c r="M646" s="2" t="str">
        <f t="shared" si="32"/>
        <v>YES</v>
      </c>
      <c r="N646" t="str">
        <f>VLOOKUP(A646,A645:H1645,8)</f>
        <v>Groceries</v>
      </c>
    </row>
    <row r="647" spans="1:14" x14ac:dyDescent="0.35">
      <c r="A647">
        <v>646</v>
      </c>
      <c r="B647">
        <v>62</v>
      </c>
      <c r="C647" t="s">
        <v>16</v>
      </c>
      <c r="D647">
        <v>113856</v>
      </c>
      <c r="E647">
        <v>78</v>
      </c>
      <c r="F647">
        <v>6</v>
      </c>
      <c r="G647">
        <v>50</v>
      </c>
      <c r="H647" t="s">
        <v>15</v>
      </c>
      <c r="I647">
        <v>720.47</v>
      </c>
      <c r="J647" s="1" t="str">
        <f t="shared" si="30"/>
        <v>valid</v>
      </c>
      <c r="K647" t="e">
        <f t="shared" ca="1" si="31"/>
        <v>#NAME?</v>
      </c>
      <c r="L647" t="str">
        <f>IF(E647&gt;=80,"High Value","Normal")</f>
        <v>Normal</v>
      </c>
      <c r="M647" s="2" t="str">
        <f t="shared" si="32"/>
        <v>YES</v>
      </c>
      <c r="N647" t="str">
        <f>VLOOKUP(A647,A646:H1646,8)</f>
        <v>Electronics</v>
      </c>
    </row>
    <row r="648" spans="1:14" x14ac:dyDescent="0.35">
      <c r="A648">
        <v>647</v>
      </c>
      <c r="B648">
        <v>24</v>
      </c>
      <c r="C648" t="s">
        <v>13</v>
      </c>
      <c r="D648">
        <v>122371</v>
      </c>
      <c r="E648">
        <v>11</v>
      </c>
      <c r="F648">
        <v>2</v>
      </c>
      <c r="G648">
        <v>4</v>
      </c>
      <c r="H648" t="s">
        <v>15</v>
      </c>
      <c r="I648">
        <v>838.19</v>
      </c>
      <c r="J648" s="1" t="str">
        <f t="shared" si="30"/>
        <v>valid</v>
      </c>
      <c r="K648" t="e">
        <f t="shared" ca="1" si="31"/>
        <v>#NAME?</v>
      </c>
      <c r="L648" t="str">
        <f>IF(E648&gt;=80,"High Value","Normal")</f>
        <v>Normal</v>
      </c>
      <c r="M648" s="2" t="b">
        <f t="shared" si="32"/>
        <v>0</v>
      </c>
      <c r="N648" t="str">
        <f>VLOOKUP(A648,A647:H1647,8)</f>
        <v>Electronics</v>
      </c>
    </row>
    <row r="649" spans="1:14" x14ac:dyDescent="0.35">
      <c r="A649">
        <v>648</v>
      </c>
      <c r="B649">
        <v>43</v>
      </c>
      <c r="C649" t="s">
        <v>9</v>
      </c>
      <c r="D649">
        <v>67979</v>
      </c>
      <c r="E649">
        <v>49</v>
      </c>
      <c r="F649">
        <v>2</v>
      </c>
      <c r="G649">
        <v>6</v>
      </c>
      <c r="H649" t="s">
        <v>10</v>
      </c>
      <c r="I649">
        <v>420.03</v>
      </c>
      <c r="J649" s="1" t="str">
        <f t="shared" si="30"/>
        <v>valid</v>
      </c>
      <c r="K649" t="e">
        <f t="shared" ca="1" si="31"/>
        <v>#NAME?</v>
      </c>
      <c r="L649" t="str">
        <f>IF(E649&gt;=80,"High Value","Normal")</f>
        <v>Normal</v>
      </c>
      <c r="M649" s="2" t="b">
        <f t="shared" si="32"/>
        <v>0</v>
      </c>
      <c r="N649" t="str">
        <f>VLOOKUP(A649,A648:H1648,8)</f>
        <v>Groceries</v>
      </c>
    </row>
    <row r="650" spans="1:14" x14ac:dyDescent="0.35">
      <c r="A650">
        <v>649</v>
      </c>
      <c r="B650">
        <v>27</v>
      </c>
      <c r="C650" t="s">
        <v>16</v>
      </c>
      <c r="D650">
        <v>147360</v>
      </c>
      <c r="E650">
        <v>96</v>
      </c>
      <c r="F650">
        <v>3</v>
      </c>
      <c r="G650">
        <v>26</v>
      </c>
      <c r="H650" t="s">
        <v>11</v>
      </c>
      <c r="I650">
        <v>26.1</v>
      </c>
      <c r="J650" s="1" t="str">
        <f t="shared" si="30"/>
        <v>valid</v>
      </c>
      <c r="K650" t="e">
        <f t="shared" ca="1" si="31"/>
        <v>#NAME?</v>
      </c>
      <c r="L650" t="str">
        <f>IF(E650&gt;=80,"High Value","Normal")</f>
        <v>High Value</v>
      </c>
      <c r="M650" s="2" t="b">
        <f t="shared" si="32"/>
        <v>0</v>
      </c>
      <c r="N650" t="str">
        <f>VLOOKUP(A650,A649:H1649,8)</f>
        <v>Sports</v>
      </c>
    </row>
    <row r="651" spans="1:14" x14ac:dyDescent="0.35">
      <c r="A651">
        <v>650</v>
      </c>
      <c r="B651">
        <v>47</v>
      </c>
      <c r="C651" t="s">
        <v>13</v>
      </c>
      <c r="D651">
        <v>88268</v>
      </c>
      <c r="E651">
        <v>32</v>
      </c>
      <c r="F651">
        <v>8</v>
      </c>
      <c r="G651">
        <v>27</v>
      </c>
      <c r="H651" t="s">
        <v>10</v>
      </c>
      <c r="I651">
        <v>686.5</v>
      </c>
      <c r="J651" s="1" t="str">
        <f t="shared" si="30"/>
        <v>valid</v>
      </c>
      <c r="K651" t="e">
        <f t="shared" ca="1" si="31"/>
        <v>#NAME?</v>
      </c>
      <c r="L651" t="str">
        <f>IF(E651&gt;=80,"High Value","Normal")</f>
        <v>Normal</v>
      </c>
      <c r="M651" s="2" t="str">
        <f t="shared" si="32"/>
        <v>YES</v>
      </c>
      <c r="N651" t="str">
        <f>VLOOKUP(A651,A650:H1650,8)</f>
        <v>Groceries</v>
      </c>
    </row>
    <row r="652" spans="1:14" x14ac:dyDescent="0.35">
      <c r="A652">
        <v>651</v>
      </c>
      <c r="B652">
        <v>27</v>
      </c>
      <c r="C652" t="s">
        <v>9</v>
      </c>
      <c r="D652">
        <v>113174</v>
      </c>
      <c r="E652">
        <v>36</v>
      </c>
      <c r="F652">
        <v>3</v>
      </c>
      <c r="G652">
        <v>46</v>
      </c>
      <c r="H652" t="s">
        <v>15</v>
      </c>
      <c r="I652">
        <v>499.07</v>
      </c>
      <c r="J652" s="1" t="str">
        <f t="shared" si="30"/>
        <v>valid</v>
      </c>
      <c r="K652" t="e">
        <f t="shared" ca="1" si="31"/>
        <v>#NAME?</v>
      </c>
      <c r="L652" t="str">
        <f>IF(E652&gt;=80,"High Value","Normal")</f>
        <v>Normal</v>
      </c>
      <c r="M652" s="2" t="b">
        <f t="shared" si="32"/>
        <v>0</v>
      </c>
      <c r="N652" t="str">
        <f>VLOOKUP(A652,A651:H1651,8)</f>
        <v>Electronics</v>
      </c>
    </row>
    <row r="653" spans="1:14" x14ac:dyDescent="0.35">
      <c r="A653">
        <v>652</v>
      </c>
      <c r="B653">
        <v>32</v>
      </c>
      <c r="C653" t="s">
        <v>13</v>
      </c>
      <c r="D653">
        <v>95862</v>
      </c>
      <c r="E653">
        <v>34</v>
      </c>
      <c r="F653">
        <v>6</v>
      </c>
      <c r="G653">
        <v>41</v>
      </c>
      <c r="H653" t="s">
        <v>15</v>
      </c>
      <c r="I653">
        <v>65.150000000000006</v>
      </c>
      <c r="J653" s="1" t="str">
        <f t="shared" si="30"/>
        <v>valid</v>
      </c>
      <c r="K653" t="e">
        <f t="shared" ca="1" si="31"/>
        <v>#NAME?</v>
      </c>
      <c r="L653" t="str">
        <f>IF(E653&gt;=80,"High Value","Normal")</f>
        <v>Normal</v>
      </c>
      <c r="M653" s="2" t="str">
        <f t="shared" si="32"/>
        <v>YES</v>
      </c>
      <c r="N653" t="str">
        <f>VLOOKUP(A653,A652:H1652,8)</f>
        <v>Electronics</v>
      </c>
    </row>
    <row r="654" spans="1:14" x14ac:dyDescent="0.35">
      <c r="A654">
        <v>653</v>
      </c>
      <c r="B654">
        <v>41</v>
      </c>
      <c r="C654" t="s">
        <v>16</v>
      </c>
      <c r="D654">
        <v>140959</v>
      </c>
      <c r="E654">
        <v>35</v>
      </c>
      <c r="F654">
        <v>7</v>
      </c>
      <c r="G654">
        <v>14</v>
      </c>
      <c r="H654" t="s">
        <v>14</v>
      </c>
      <c r="I654">
        <v>232.42</v>
      </c>
      <c r="J654" s="1" t="str">
        <f t="shared" si="30"/>
        <v>valid</v>
      </c>
      <c r="K654" t="e">
        <f t="shared" ca="1" si="31"/>
        <v>#NAME?</v>
      </c>
      <c r="L654" t="str">
        <f>IF(E654&gt;=80,"High Value","Normal")</f>
        <v>Normal</v>
      </c>
      <c r="M654" s="2" t="b">
        <f t="shared" si="32"/>
        <v>0</v>
      </c>
      <c r="N654" t="str">
        <f>VLOOKUP(A654,A653:H1653,8)</f>
        <v>Home &amp; Garden</v>
      </c>
    </row>
    <row r="655" spans="1:14" x14ac:dyDescent="0.35">
      <c r="A655">
        <v>654</v>
      </c>
      <c r="B655">
        <v>48</v>
      </c>
      <c r="C655" t="s">
        <v>16</v>
      </c>
      <c r="D655">
        <v>82356</v>
      </c>
      <c r="E655">
        <v>97</v>
      </c>
      <c r="F655">
        <v>1</v>
      </c>
      <c r="G655">
        <v>35</v>
      </c>
      <c r="H655" t="s">
        <v>11</v>
      </c>
      <c r="I655">
        <v>204.55</v>
      </c>
      <c r="J655" s="1" t="str">
        <f t="shared" si="30"/>
        <v>valid</v>
      </c>
      <c r="K655" t="e">
        <f t="shared" ca="1" si="31"/>
        <v>#NAME?</v>
      </c>
      <c r="L655" t="str">
        <f>IF(E655&gt;=80,"High Value","Normal")</f>
        <v>High Value</v>
      </c>
      <c r="M655" s="2" t="str">
        <f t="shared" si="32"/>
        <v>YES</v>
      </c>
      <c r="N655" t="str">
        <f>VLOOKUP(A655,A654:H1654,8)</f>
        <v>Sports</v>
      </c>
    </row>
    <row r="656" spans="1:14" x14ac:dyDescent="0.35">
      <c r="A656">
        <v>655</v>
      </c>
      <c r="B656">
        <v>45</v>
      </c>
      <c r="C656" t="s">
        <v>13</v>
      </c>
      <c r="D656">
        <v>47989</v>
      </c>
      <c r="E656">
        <v>70</v>
      </c>
      <c r="F656">
        <v>6</v>
      </c>
      <c r="G656">
        <v>9</v>
      </c>
      <c r="H656" t="s">
        <v>10</v>
      </c>
      <c r="I656">
        <v>218.77</v>
      </c>
      <c r="J656" s="1" t="str">
        <f t="shared" si="30"/>
        <v>valid</v>
      </c>
      <c r="K656" t="e">
        <f t="shared" ca="1" si="31"/>
        <v>#NAME?</v>
      </c>
      <c r="L656" t="str">
        <f>IF(E656&gt;=80,"High Value","Normal")</f>
        <v>Normal</v>
      </c>
      <c r="M656" s="2" t="b">
        <f t="shared" si="32"/>
        <v>0</v>
      </c>
      <c r="N656" t="str">
        <f>VLOOKUP(A656,A655:H1655,8)</f>
        <v>Groceries</v>
      </c>
    </row>
    <row r="657" spans="1:14" x14ac:dyDescent="0.35">
      <c r="A657">
        <v>656</v>
      </c>
      <c r="B657">
        <v>33</v>
      </c>
      <c r="C657" t="s">
        <v>13</v>
      </c>
      <c r="D657">
        <v>65142</v>
      </c>
      <c r="E657">
        <v>45</v>
      </c>
      <c r="F657">
        <v>10</v>
      </c>
      <c r="G657">
        <v>42</v>
      </c>
      <c r="H657" t="s">
        <v>12</v>
      </c>
      <c r="I657">
        <v>132.6</v>
      </c>
      <c r="J657" s="1" t="str">
        <f t="shared" si="30"/>
        <v>valid</v>
      </c>
      <c r="K657" t="e">
        <f t="shared" ca="1" si="31"/>
        <v>#NAME?</v>
      </c>
      <c r="L657" t="str">
        <f>IF(E657&gt;=80,"High Value","Normal")</f>
        <v>Normal</v>
      </c>
      <c r="M657" s="2" t="str">
        <f t="shared" si="32"/>
        <v>YES</v>
      </c>
      <c r="N657" t="str">
        <f>VLOOKUP(A657,A656:H1656,8)</f>
        <v>Clothing</v>
      </c>
    </row>
    <row r="658" spans="1:14" x14ac:dyDescent="0.35">
      <c r="A658">
        <v>657</v>
      </c>
      <c r="B658">
        <v>27</v>
      </c>
      <c r="C658" t="s">
        <v>16</v>
      </c>
      <c r="D658">
        <v>81110</v>
      </c>
      <c r="E658">
        <v>44</v>
      </c>
      <c r="F658">
        <v>6</v>
      </c>
      <c r="G658">
        <v>8</v>
      </c>
      <c r="H658" t="s">
        <v>15</v>
      </c>
      <c r="I658">
        <v>654.04999999999995</v>
      </c>
      <c r="J658" s="1" t="str">
        <f t="shared" si="30"/>
        <v>valid</v>
      </c>
      <c r="K658" t="e">
        <f t="shared" ca="1" si="31"/>
        <v>#NAME?</v>
      </c>
      <c r="L658" t="str">
        <f>IF(E658&gt;=80,"High Value","Normal")</f>
        <v>Normal</v>
      </c>
      <c r="M658" s="2" t="b">
        <f t="shared" si="32"/>
        <v>0</v>
      </c>
      <c r="N658" t="str">
        <f>VLOOKUP(A658,A657:H1657,8)</f>
        <v>Electronics</v>
      </c>
    </row>
    <row r="659" spans="1:14" x14ac:dyDescent="0.35">
      <c r="A659">
        <v>658</v>
      </c>
      <c r="B659">
        <v>61</v>
      </c>
      <c r="C659" t="s">
        <v>16</v>
      </c>
      <c r="D659">
        <v>145578</v>
      </c>
      <c r="E659">
        <v>79</v>
      </c>
      <c r="F659">
        <v>2</v>
      </c>
      <c r="G659">
        <v>34</v>
      </c>
      <c r="H659" t="s">
        <v>12</v>
      </c>
      <c r="I659">
        <v>762.06</v>
      </c>
      <c r="J659" s="1" t="str">
        <f t="shared" si="30"/>
        <v>valid</v>
      </c>
      <c r="K659" t="e">
        <f t="shared" ca="1" si="31"/>
        <v>#NAME?</v>
      </c>
      <c r="L659" t="str">
        <f>IF(E659&gt;=80,"High Value","Normal")</f>
        <v>Normal</v>
      </c>
      <c r="M659" s="2" t="str">
        <f t="shared" si="32"/>
        <v>YES</v>
      </c>
      <c r="N659" t="str">
        <f>VLOOKUP(A659,A658:H1658,8)</f>
        <v>Clothing</v>
      </c>
    </row>
    <row r="660" spans="1:14" x14ac:dyDescent="0.35">
      <c r="A660">
        <v>659</v>
      </c>
      <c r="B660">
        <v>35</v>
      </c>
      <c r="C660" t="s">
        <v>13</v>
      </c>
      <c r="D660">
        <v>116378</v>
      </c>
      <c r="E660">
        <v>38</v>
      </c>
      <c r="F660">
        <v>10</v>
      </c>
      <c r="G660">
        <v>11</v>
      </c>
      <c r="H660" t="s">
        <v>12</v>
      </c>
      <c r="I660">
        <v>79.27</v>
      </c>
      <c r="J660" s="1" t="str">
        <f t="shared" si="30"/>
        <v>valid</v>
      </c>
      <c r="K660" t="e">
        <f t="shared" ca="1" si="31"/>
        <v>#NAME?</v>
      </c>
      <c r="L660" t="str">
        <f>IF(E660&gt;=80,"High Value","Normal")</f>
        <v>Normal</v>
      </c>
      <c r="M660" s="2" t="b">
        <f t="shared" si="32"/>
        <v>0</v>
      </c>
      <c r="N660" t="str">
        <f>VLOOKUP(A660,A659:H1659,8)</f>
        <v>Clothing</v>
      </c>
    </row>
    <row r="661" spans="1:14" x14ac:dyDescent="0.35">
      <c r="A661">
        <v>660</v>
      </c>
      <c r="B661">
        <v>54</v>
      </c>
      <c r="C661" t="s">
        <v>9</v>
      </c>
      <c r="D661">
        <v>89035</v>
      </c>
      <c r="E661">
        <v>14</v>
      </c>
      <c r="F661">
        <v>4</v>
      </c>
      <c r="G661">
        <v>11</v>
      </c>
      <c r="H661" t="s">
        <v>11</v>
      </c>
      <c r="I661">
        <v>138.81</v>
      </c>
      <c r="J661" s="1" t="str">
        <f t="shared" si="30"/>
        <v>valid</v>
      </c>
      <c r="K661" t="e">
        <f t="shared" ca="1" si="31"/>
        <v>#NAME?</v>
      </c>
      <c r="L661" t="str">
        <f>IF(E661&gt;=80,"High Value","Normal")</f>
        <v>Normal</v>
      </c>
      <c r="M661" s="2" t="b">
        <f t="shared" si="32"/>
        <v>0</v>
      </c>
      <c r="N661" t="str">
        <f>VLOOKUP(A661,A660:H1660,8)</f>
        <v>Sports</v>
      </c>
    </row>
    <row r="662" spans="1:14" x14ac:dyDescent="0.35">
      <c r="A662">
        <v>661</v>
      </c>
      <c r="B662">
        <v>69</v>
      </c>
      <c r="C662" t="s">
        <v>9</v>
      </c>
      <c r="D662">
        <v>34122</v>
      </c>
      <c r="E662">
        <v>50</v>
      </c>
      <c r="F662">
        <v>4</v>
      </c>
      <c r="G662">
        <v>27</v>
      </c>
      <c r="H662" t="s">
        <v>11</v>
      </c>
      <c r="I662">
        <v>758.44</v>
      </c>
      <c r="J662" s="1" t="str">
        <f t="shared" si="30"/>
        <v>valid</v>
      </c>
      <c r="K662" t="e">
        <f t="shared" ca="1" si="31"/>
        <v>#NAME?</v>
      </c>
      <c r="L662" t="str">
        <f>IF(E662&gt;=80,"High Value","Normal")</f>
        <v>Normal</v>
      </c>
      <c r="M662" s="2" t="str">
        <f t="shared" si="32"/>
        <v>YES</v>
      </c>
      <c r="N662" t="str">
        <f>VLOOKUP(A662,A661:H1661,8)</f>
        <v>Sports</v>
      </c>
    </row>
    <row r="663" spans="1:14" x14ac:dyDescent="0.35">
      <c r="A663">
        <v>662</v>
      </c>
      <c r="B663">
        <v>66</v>
      </c>
      <c r="C663" t="s">
        <v>13</v>
      </c>
      <c r="D663">
        <v>38652</v>
      </c>
      <c r="E663">
        <v>40</v>
      </c>
      <c r="F663">
        <v>10</v>
      </c>
      <c r="G663">
        <v>7</v>
      </c>
      <c r="H663" t="s">
        <v>14</v>
      </c>
      <c r="I663">
        <v>566.59</v>
      </c>
      <c r="J663" s="1" t="str">
        <f t="shared" si="30"/>
        <v>valid</v>
      </c>
      <c r="K663" t="e">
        <f t="shared" ca="1" si="31"/>
        <v>#NAME?</v>
      </c>
      <c r="L663" t="str">
        <f>IF(E663&gt;=80,"High Value","Normal")</f>
        <v>Normal</v>
      </c>
      <c r="M663" s="2" t="b">
        <f t="shared" si="32"/>
        <v>0</v>
      </c>
      <c r="N663" t="str">
        <f>VLOOKUP(A663,A662:H1662,8)</f>
        <v>Home &amp; Garden</v>
      </c>
    </row>
    <row r="664" spans="1:14" x14ac:dyDescent="0.35">
      <c r="A664">
        <v>663</v>
      </c>
      <c r="B664">
        <v>30</v>
      </c>
      <c r="C664" t="s">
        <v>9</v>
      </c>
      <c r="D664">
        <v>76658</v>
      </c>
      <c r="E664">
        <v>70</v>
      </c>
      <c r="F664">
        <v>3</v>
      </c>
      <c r="G664">
        <v>32</v>
      </c>
      <c r="H664" t="s">
        <v>10</v>
      </c>
      <c r="I664">
        <v>760.27</v>
      </c>
      <c r="J664" s="1" t="str">
        <f t="shared" si="30"/>
        <v>valid</v>
      </c>
      <c r="K664" t="e">
        <f t="shared" ca="1" si="31"/>
        <v>#NAME?</v>
      </c>
      <c r="L664" t="str">
        <f>IF(E664&gt;=80,"High Value","Normal")</f>
        <v>Normal</v>
      </c>
      <c r="M664" s="2" t="b">
        <f t="shared" si="32"/>
        <v>0</v>
      </c>
      <c r="N664" t="str">
        <f>VLOOKUP(A664,A663:H1663,8)</f>
        <v>Groceries</v>
      </c>
    </row>
    <row r="665" spans="1:14" x14ac:dyDescent="0.35">
      <c r="A665">
        <v>664</v>
      </c>
      <c r="B665">
        <v>56</v>
      </c>
      <c r="C665" t="s">
        <v>13</v>
      </c>
      <c r="D665">
        <v>30492</v>
      </c>
      <c r="E665">
        <v>47</v>
      </c>
      <c r="F665">
        <v>5</v>
      </c>
      <c r="G665">
        <v>6</v>
      </c>
      <c r="H665" t="s">
        <v>10</v>
      </c>
      <c r="I665">
        <v>725.26</v>
      </c>
      <c r="J665" s="1" t="str">
        <f t="shared" si="30"/>
        <v>valid</v>
      </c>
      <c r="K665" t="e">
        <f t="shared" ca="1" si="31"/>
        <v>#NAME?</v>
      </c>
      <c r="L665" t="str">
        <f>IF(E665&gt;=80,"High Value","Normal")</f>
        <v>Normal</v>
      </c>
      <c r="M665" s="2" t="b">
        <f t="shared" si="32"/>
        <v>0</v>
      </c>
      <c r="N665" t="str">
        <f>VLOOKUP(A665,A664:H1664,8)</f>
        <v>Groceries</v>
      </c>
    </row>
    <row r="666" spans="1:14" x14ac:dyDescent="0.35">
      <c r="A666">
        <v>665</v>
      </c>
      <c r="B666">
        <v>37</v>
      </c>
      <c r="C666" t="s">
        <v>16</v>
      </c>
      <c r="D666">
        <v>105623</v>
      </c>
      <c r="E666">
        <v>26</v>
      </c>
      <c r="F666">
        <v>5</v>
      </c>
      <c r="G666">
        <v>47</v>
      </c>
      <c r="H666" t="s">
        <v>14</v>
      </c>
      <c r="I666">
        <v>94.79</v>
      </c>
      <c r="J666" s="1" t="str">
        <f t="shared" si="30"/>
        <v>valid</v>
      </c>
      <c r="K666" t="e">
        <f t="shared" ca="1" si="31"/>
        <v>#NAME?</v>
      </c>
      <c r="L666" t="str">
        <f>IF(E666&gt;=80,"High Value","Normal")</f>
        <v>Normal</v>
      </c>
      <c r="M666" s="2" t="str">
        <f t="shared" si="32"/>
        <v>YES</v>
      </c>
      <c r="N666" t="str">
        <f>VLOOKUP(A666,A665:H1665,8)</f>
        <v>Home &amp; Garden</v>
      </c>
    </row>
    <row r="667" spans="1:14" x14ac:dyDescent="0.35">
      <c r="A667">
        <v>666</v>
      </c>
      <c r="B667">
        <v>31</v>
      </c>
      <c r="C667" t="s">
        <v>13</v>
      </c>
      <c r="D667">
        <v>85972</v>
      </c>
      <c r="E667">
        <v>62</v>
      </c>
      <c r="F667">
        <v>9</v>
      </c>
      <c r="G667">
        <v>25</v>
      </c>
      <c r="H667" t="s">
        <v>11</v>
      </c>
      <c r="I667">
        <v>914.63</v>
      </c>
      <c r="J667" s="1" t="str">
        <f t="shared" si="30"/>
        <v>valid</v>
      </c>
      <c r="K667" t="e">
        <f t="shared" ca="1" si="31"/>
        <v>#NAME?</v>
      </c>
      <c r="L667" t="str">
        <f>IF(E667&gt;=80,"High Value","Normal")</f>
        <v>Normal</v>
      </c>
      <c r="M667" s="2" t="str">
        <f t="shared" si="32"/>
        <v>YES</v>
      </c>
      <c r="N667" t="str">
        <f>VLOOKUP(A667,A666:H1666,8)</f>
        <v>Sports</v>
      </c>
    </row>
    <row r="668" spans="1:14" x14ac:dyDescent="0.35">
      <c r="A668">
        <v>667</v>
      </c>
      <c r="B668">
        <v>29</v>
      </c>
      <c r="C668" t="s">
        <v>9</v>
      </c>
      <c r="D668">
        <v>135394</v>
      </c>
      <c r="E668">
        <v>53</v>
      </c>
      <c r="F668">
        <v>9</v>
      </c>
      <c r="G668">
        <v>36</v>
      </c>
      <c r="H668" t="s">
        <v>12</v>
      </c>
      <c r="I668">
        <v>30.13</v>
      </c>
      <c r="J668" s="1" t="str">
        <f t="shared" si="30"/>
        <v>valid</v>
      </c>
      <c r="K668" t="e">
        <f t="shared" ca="1" si="31"/>
        <v>#NAME?</v>
      </c>
      <c r="L668" t="str">
        <f>IF(E668&gt;=80,"High Value","Normal")</f>
        <v>Normal</v>
      </c>
      <c r="M668" s="2" t="b">
        <f t="shared" si="32"/>
        <v>0</v>
      </c>
      <c r="N668" t="str">
        <f>VLOOKUP(A668,A667:H1667,8)</f>
        <v>Clothing</v>
      </c>
    </row>
    <row r="669" spans="1:14" x14ac:dyDescent="0.35">
      <c r="A669">
        <v>668</v>
      </c>
      <c r="B669">
        <v>27</v>
      </c>
      <c r="C669" t="s">
        <v>9</v>
      </c>
      <c r="D669">
        <v>48576</v>
      </c>
      <c r="E669">
        <v>29</v>
      </c>
      <c r="F669">
        <v>7</v>
      </c>
      <c r="G669">
        <v>29</v>
      </c>
      <c r="H669" t="s">
        <v>11</v>
      </c>
      <c r="I669">
        <v>976.83</v>
      </c>
      <c r="J669" s="1" t="str">
        <f t="shared" si="30"/>
        <v>valid</v>
      </c>
      <c r="K669" t="e">
        <f t="shared" ca="1" si="31"/>
        <v>#NAME?</v>
      </c>
      <c r="L669" t="str">
        <f>IF(E669&gt;=80,"High Value","Normal")</f>
        <v>Normal</v>
      </c>
      <c r="M669" s="2" t="b">
        <f t="shared" si="32"/>
        <v>0</v>
      </c>
      <c r="N669" t="str">
        <f>VLOOKUP(A669,A668:H1668,8)</f>
        <v>Sports</v>
      </c>
    </row>
    <row r="670" spans="1:14" x14ac:dyDescent="0.35">
      <c r="A670">
        <v>669</v>
      </c>
      <c r="B670">
        <v>52</v>
      </c>
      <c r="C670" t="s">
        <v>16</v>
      </c>
      <c r="D670">
        <v>87717</v>
      </c>
      <c r="E670">
        <v>79</v>
      </c>
      <c r="F670">
        <v>6</v>
      </c>
      <c r="G670">
        <v>44</v>
      </c>
      <c r="H670" t="s">
        <v>12</v>
      </c>
      <c r="I670">
        <v>95.17</v>
      </c>
      <c r="J670" s="1" t="str">
        <f t="shared" si="30"/>
        <v>valid</v>
      </c>
      <c r="K670" t="e">
        <f t="shared" ca="1" si="31"/>
        <v>#NAME?</v>
      </c>
      <c r="L670" t="str">
        <f>IF(E670&gt;=80,"High Value","Normal")</f>
        <v>Normal</v>
      </c>
      <c r="M670" s="2" t="str">
        <f t="shared" si="32"/>
        <v>YES</v>
      </c>
      <c r="N670" t="str">
        <f>VLOOKUP(A670,A669:H1669,8)</f>
        <v>Clothing</v>
      </c>
    </row>
    <row r="671" spans="1:14" x14ac:dyDescent="0.35">
      <c r="A671">
        <v>670</v>
      </c>
      <c r="B671">
        <v>55</v>
      </c>
      <c r="C671" t="s">
        <v>13</v>
      </c>
      <c r="D671">
        <v>59108</v>
      </c>
      <c r="E671">
        <v>36</v>
      </c>
      <c r="F671">
        <v>6</v>
      </c>
      <c r="G671">
        <v>31</v>
      </c>
      <c r="H671" t="s">
        <v>14</v>
      </c>
      <c r="I671">
        <v>900.16</v>
      </c>
      <c r="J671" s="1" t="str">
        <f t="shared" si="30"/>
        <v>valid</v>
      </c>
      <c r="K671" t="e">
        <f t="shared" ca="1" si="31"/>
        <v>#NAME?</v>
      </c>
      <c r="L671" t="str">
        <f>IF(E671&gt;=80,"High Value","Normal")</f>
        <v>Normal</v>
      </c>
      <c r="M671" s="2" t="str">
        <f t="shared" si="32"/>
        <v>YES</v>
      </c>
      <c r="N671" t="str">
        <f>VLOOKUP(A671,A670:H1670,8)</f>
        <v>Home &amp; Garden</v>
      </c>
    </row>
    <row r="672" spans="1:14" x14ac:dyDescent="0.35">
      <c r="A672">
        <v>671</v>
      </c>
      <c r="B672">
        <v>34</v>
      </c>
      <c r="C672" t="s">
        <v>16</v>
      </c>
      <c r="D672">
        <v>54274</v>
      </c>
      <c r="E672">
        <v>27</v>
      </c>
      <c r="F672">
        <v>2</v>
      </c>
      <c r="G672">
        <v>17</v>
      </c>
      <c r="H672" t="s">
        <v>14</v>
      </c>
      <c r="I672">
        <v>954.46</v>
      </c>
      <c r="J672" s="1" t="str">
        <f t="shared" si="30"/>
        <v>valid</v>
      </c>
      <c r="K672" t="e">
        <f t="shared" ca="1" si="31"/>
        <v>#NAME?</v>
      </c>
      <c r="L672" t="str">
        <f>IF(E672&gt;=80,"High Value","Normal")</f>
        <v>Normal</v>
      </c>
      <c r="M672" s="2" t="b">
        <f t="shared" si="32"/>
        <v>0</v>
      </c>
      <c r="N672" t="str">
        <f>VLOOKUP(A672,A671:H1671,8)</f>
        <v>Home &amp; Garden</v>
      </c>
    </row>
    <row r="673" spans="1:14" x14ac:dyDescent="0.35">
      <c r="A673">
        <v>672</v>
      </c>
      <c r="B673">
        <v>30</v>
      </c>
      <c r="C673" t="s">
        <v>16</v>
      </c>
      <c r="D673">
        <v>94803</v>
      </c>
      <c r="E673">
        <v>76</v>
      </c>
      <c r="F673">
        <v>6</v>
      </c>
      <c r="G673">
        <v>33</v>
      </c>
      <c r="H673" t="s">
        <v>14</v>
      </c>
      <c r="I673">
        <v>596.98</v>
      </c>
      <c r="J673" s="1" t="str">
        <f t="shared" si="30"/>
        <v>valid</v>
      </c>
      <c r="K673" t="e">
        <f t="shared" ca="1" si="31"/>
        <v>#NAME?</v>
      </c>
      <c r="L673" t="str">
        <f>IF(E673&gt;=80,"High Value","Normal")</f>
        <v>Normal</v>
      </c>
      <c r="M673" s="2" t="b">
        <f t="shared" si="32"/>
        <v>0</v>
      </c>
      <c r="N673" t="str">
        <f>VLOOKUP(A673,A672:H1672,8)</f>
        <v>Home &amp; Garden</v>
      </c>
    </row>
    <row r="674" spans="1:14" x14ac:dyDescent="0.35">
      <c r="A674">
        <v>673</v>
      </c>
      <c r="B674">
        <v>47</v>
      </c>
      <c r="C674" t="s">
        <v>9</v>
      </c>
      <c r="D674">
        <v>40790</v>
      </c>
      <c r="E674">
        <v>36</v>
      </c>
      <c r="F674">
        <v>1</v>
      </c>
      <c r="G674">
        <v>4</v>
      </c>
      <c r="H674" t="s">
        <v>12</v>
      </c>
      <c r="I674">
        <v>913.84</v>
      </c>
      <c r="J674" s="1" t="str">
        <f t="shared" si="30"/>
        <v>valid</v>
      </c>
      <c r="K674" t="e">
        <f t="shared" ca="1" si="31"/>
        <v>#NAME?</v>
      </c>
      <c r="L674" t="str">
        <f>IF(E674&gt;=80,"High Value","Normal")</f>
        <v>Normal</v>
      </c>
      <c r="M674" s="2" t="b">
        <f t="shared" si="32"/>
        <v>0</v>
      </c>
      <c r="N674" t="str">
        <f>VLOOKUP(A674,A673:H1673,8)</f>
        <v>Clothing</v>
      </c>
    </row>
    <row r="675" spans="1:14" x14ac:dyDescent="0.35">
      <c r="A675">
        <v>674</v>
      </c>
      <c r="B675">
        <v>32</v>
      </c>
      <c r="C675" t="s">
        <v>13</v>
      </c>
      <c r="D675">
        <v>41072</v>
      </c>
      <c r="E675">
        <v>14</v>
      </c>
      <c r="F675">
        <v>5</v>
      </c>
      <c r="G675">
        <v>39</v>
      </c>
      <c r="H675" t="s">
        <v>15</v>
      </c>
      <c r="I675">
        <v>981.04</v>
      </c>
      <c r="J675" s="1" t="str">
        <f t="shared" si="30"/>
        <v>valid</v>
      </c>
      <c r="K675" t="e">
        <f t="shared" ca="1" si="31"/>
        <v>#NAME?</v>
      </c>
      <c r="L675" t="str">
        <f>IF(E675&gt;=80,"High Value","Normal")</f>
        <v>Normal</v>
      </c>
      <c r="M675" s="2" t="str">
        <f t="shared" si="32"/>
        <v>YES</v>
      </c>
      <c r="N675" t="str">
        <f>VLOOKUP(A675,A674:H1674,8)</f>
        <v>Electronics</v>
      </c>
    </row>
    <row r="676" spans="1:14" x14ac:dyDescent="0.35">
      <c r="A676">
        <v>675</v>
      </c>
      <c r="B676">
        <v>64</v>
      </c>
      <c r="C676" t="s">
        <v>9</v>
      </c>
      <c r="D676">
        <v>67704</v>
      </c>
      <c r="E676">
        <v>12</v>
      </c>
      <c r="F676">
        <v>6</v>
      </c>
      <c r="G676">
        <v>17</v>
      </c>
      <c r="H676" t="s">
        <v>14</v>
      </c>
      <c r="I676">
        <v>126.15</v>
      </c>
      <c r="J676" s="1" t="str">
        <f t="shared" si="30"/>
        <v>valid</v>
      </c>
      <c r="K676" t="e">
        <f t="shared" ca="1" si="31"/>
        <v>#NAME?</v>
      </c>
      <c r="L676" t="str">
        <f>IF(E676&gt;=80,"High Value","Normal")</f>
        <v>Normal</v>
      </c>
      <c r="M676" s="2" t="b">
        <f t="shared" si="32"/>
        <v>0</v>
      </c>
      <c r="N676" t="str">
        <f>VLOOKUP(A676,A675:H1675,8)</f>
        <v>Home &amp; Garden</v>
      </c>
    </row>
    <row r="677" spans="1:14" x14ac:dyDescent="0.35">
      <c r="A677">
        <v>676</v>
      </c>
      <c r="B677">
        <v>64</v>
      </c>
      <c r="C677" t="s">
        <v>9</v>
      </c>
      <c r="D677">
        <v>48169</v>
      </c>
      <c r="E677">
        <v>39</v>
      </c>
      <c r="F677">
        <v>5</v>
      </c>
      <c r="G677">
        <v>33</v>
      </c>
      <c r="H677" t="s">
        <v>10</v>
      </c>
      <c r="I677">
        <v>451.86</v>
      </c>
      <c r="J677" s="1" t="str">
        <f t="shared" si="30"/>
        <v>valid</v>
      </c>
      <c r="K677" t="e">
        <f t="shared" ca="1" si="31"/>
        <v>#NAME?</v>
      </c>
      <c r="L677" t="str">
        <f>IF(E677&gt;=80,"High Value","Normal")</f>
        <v>Normal</v>
      </c>
      <c r="M677" s="2" t="str">
        <f t="shared" si="32"/>
        <v>YES</v>
      </c>
      <c r="N677" t="str">
        <f>VLOOKUP(A677,A676:H1676,8)</f>
        <v>Groceries</v>
      </c>
    </row>
    <row r="678" spans="1:14" x14ac:dyDescent="0.35">
      <c r="A678">
        <v>677</v>
      </c>
      <c r="B678">
        <v>51</v>
      </c>
      <c r="C678" t="s">
        <v>9</v>
      </c>
      <c r="D678">
        <v>146159</v>
      </c>
      <c r="E678">
        <v>99</v>
      </c>
      <c r="F678">
        <v>7</v>
      </c>
      <c r="G678">
        <v>38</v>
      </c>
      <c r="H678" t="s">
        <v>10</v>
      </c>
      <c r="I678">
        <v>808.89</v>
      </c>
      <c r="J678" s="1" t="str">
        <f t="shared" si="30"/>
        <v>valid</v>
      </c>
      <c r="K678" t="e">
        <f t="shared" ca="1" si="31"/>
        <v>#NAME?</v>
      </c>
      <c r="L678" t="str">
        <f>IF(E678&gt;=80,"High Value","Normal")</f>
        <v>High Value</v>
      </c>
      <c r="M678" s="2" t="str">
        <f t="shared" si="32"/>
        <v>YES</v>
      </c>
      <c r="N678" t="str">
        <f>VLOOKUP(A678,A677:H1677,8)</f>
        <v>Groceries</v>
      </c>
    </row>
    <row r="679" spans="1:14" x14ac:dyDescent="0.35">
      <c r="A679">
        <v>678</v>
      </c>
      <c r="B679">
        <v>63</v>
      </c>
      <c r="C679" t="s">
        <v>13</v>
      </c>
      <c r="D679">
        <v>56374</v>
      </c>
      <c r="E679">
        <v>60</v>
      </c>
      <c r="F679">
        <v>4</v>
      </c>
      <c r="G679">
        <v>45</v>
      </c>
      <c r="H679" t="s">
        <v>14</v>
      </c>
      <c r="I679">
        <v>943.5</v>
      </c>
      <c r="J679" s="1" t="str">
        <f t="shared" si="30"/>
        <v>valid</v>
      </c>
      <c r="K679" t="e">
        <f t="shared" ca="1" si="31"/>
        <v>#NAME?</v>
      </c>
      <c r="L679" t="str">
        <f>IF(E679&gt;=80,"High Value","Normal")</f>
        <v>Normal</v>
      </c>
      <c r="M679" s="2" t="str">
        <f t="shared" si="32"/>
        <v>YES</v>
      </c>
      <c r="N679" t="str">
        <f>VLOOKUP(A679,A678:H1678,8)</f>
        <v>Home &amp; Garden</v>
      </c>
    </row>
    <row r="680" spans="1:14" x14ac:dyDescent="0.35">
      <c r="A680">
        <v>679</v>
      </c>
      <c r="B680">
        <v>46</v>
      </c>
      <c r="C680" t="s">
        <v>9</v>
      </c>
      <c r="D680">
        <v>112770</v>
      </c>
      <c r="E680">
        <v>6</v>
      </c>
      <c r="F680">
        <v>10</v>
      </c>
      <c r="G680">
        <v>27</v>
      </c>
      <c r="H680" t="s">
        <v>11</v>
      </c>
      <c r="I680">
        <v>559.73</v>
      </c>
      <c r="J680" s="1" t="str">
        <f t="shared" si="30"/>
        <v>valid</v>
      </c>
      <c r="K680" t="e">
        <f t="shared" ca="1" si="31"/>
        <v>#NAME?</v>
      </c>
      <c r="L680" t="str">
        <f>IF(E680&gt;=80,"High Value","Normal")</f>
        <v>Normal</v>
      </c>
      <c r="M680" s="2" t="str">
        <f t="shared" si="32"/>
        <v>YES</v>
      </c>
      <c r="N680" t="str">
        <f>VLOOKUP(A680,A679:H1679,8)</f>
        <v>Sports</v>
      </c>
    </row>
    <row r="681" spans="1:14" x14ac:dyDescent="0.35">
      <c r="A681">
        <v>680</v>
      </c>
      <c r="B681">
        <v>36</v>
      </c>
      <c r="C681" t="s">
        <v>13</v>
      </c>
      <c r="D681">
        <v>106345</v>
      </c>
      <c r="E681">
        <v>98</v>
      </c>
      <c r="F681">
        <v>7</v>
      </c>
      <c r="G681">
        <v>49</v>
      </c>
      <c r="H681" t="s">
        <v>12</v>
      </c>
      <c r="I681">
        <v>55.21</v>
      </c>
      <c r="J681" s="1" t="str">
        <f t="shared" si="30"/>
        <v>valid</v>
      </c>
      <c r="K681" t="e">
        <f t="shared" ca="1" si="31"/>
        <v>#NAME?</v>
      </c>
      <c r="L681" t="str">
        <f>IF(E681&gt;=80,"High Value","Normal")</f>
        <v>High Value</v>
      </c>
      <c r="M681" s="2" t="str">
        <f t="shared" si="32"/>
        <v>YES</v>
      </c>
      <c r="N681" t="str">
        <f>VLOOKUP(A681,A680:H1680,8)</f>
        <v>Clothing</v>
      </c>
    </row>
    <row r="682" spans="1:14" x14ac:dyDescent="0.35">
      <c r="A682">
        <v>681</v>
      </c>
      <c r="B682">
        <v>49</v>
      </c>
      <c r="C682" t="s">
        <v>13</v>
      </c>
      <c r="D682">
        <v>115974</v>
      </c>
      <c r="E682">
        <v>95</v>
      </c>
      <c r="F682">
        <v>8</v>
      </c>
      <c r="G682">
        <v>22</v>
      </c>
      <c r="H682" t="s">
        <v>15</v>
      </c>
      <c r="I682">
        <v>143</v>
      </c>
      <c r="J682" s="1" t="str">
        <f t="shared" si="30"/>
        <v>valid</v>
      </c>
      <c r="K682" t="e">
        <f t="shared" ca="1" si="31"/>
        <v>#NAME?</v>
      </c>
      <c r="L682" t="str">
        <f>IF(E682&gt;=80,"High Value","Normal")</f>
        <v>High Value</v>
      </c>
      <c r="M682" s="2" t="str">
        <f t="shared" si="32"/>
        <v>YES</v>
      </c>
      <c r="N682" t="str">
        <f>VLOOKUP(A682,A681:H1681,8)</f>
        <v>Electronics</v>
      </c>
    </row>
    <row r="683" spans="1:14" x14ac:dyDescent="0.35">
      <c r="A683">
        <v>682</v>
      </c>
      <c r="B683">
        <v>61</v>
      </c>
      <c r="C683" t="s">
        <v>16</v>
      </c>
      <c r="D683">
        <v>136973</v>
      </c>
      <c r="E683">
        <v>27</v>
      </c>
      <c r="F683">
        <v>7</v>
      </c>
      <c r="G683">
        <v>2</v>
      </c>
      <c r="H683" t="s">
        <v>15</v>
      </c>
      <c r="I683">
        <v>269.2</v>
      </c>
      <c r="J683" s="1" t="str">
        <f t="shared" si="30"/>
        <v>valid</v>
      </c>
      <c r="K683" t="e">
        <f t="shared" ca="1" si="31"/>
        <v>#NAME?</v>
      </c>
      <c r="L683" t="str">
        <f>IF(E683&gt;=80,"High Value","Normal")</f>
        <v>Normal</v>
      </c>
      <c r="M683" s="2" t="b">
        <f t="shared" si="32"/>
        <v>0</v>
      </c>
      <c r="N683" t="str">
        <f>VLOOKUP(A683,A682:H1682,8)</f>
        <v>Electronics</v>
      </c>
    </row>
    <row r="684" spans="1:14" x14ac:dyDescent="0.35">
      <c r="A684">
        <v>683</v>
      </c>
      <c r="B684">
        <v>27</v>
      </c>
      <c r="C684" t="s">
        <v>9</v>
      </c>
      <c r="D684">
        <v>89855</v>
      </c>
      <c r="E684">
        <v>54</v>
      </c>
      <c r="F684">
        <v>10</v>
      </c>
      <c r="G684">
        <v>37</v>
      </c>
      <c r="H684" t="s">
        <v>14</v>
      </c>
      <c r="I684">
        <v>750.51</v>
      </c>
      <c r="J684" s="1" t="str">
        <f t="shared" si="30"/>
        <v>valid</v>
      </c>
      <c r="K684" t="e">
        <f t="shared" ca="1" si="31"/>
        <v>#NAME?</v>
      </c>
      <c r="L684" t="str">
        <f>IF(E684&gt;=80,"High Value","Normal")</f>
        <v>Normal</v>
      </c>
      <c r="M684" s="2" t="b">
        <f t="shared" si="32"/>
        <v>0</v>
      </c>
      <c r="N684" t="str">
        <f>VLOOKUP(A684,A683:H1683,8)</f>
        <v>Home &amp; Garden</v>
      </c>
    </row>
    <row r="685" spans="1:14" x14ac:dyDescent="0.35">
      <c r="A685">
        <v>684</v>
      </c>
      <c r="B685">
        <v>42</v>
      </c>
      <c r="C685" t="s">
        <v>16</v>
      </c>
      <c r="D685">
        <v>56378</v>
      </c>
      <c r="E685">
        <v>8</v>
      </c>
      <c r="F685">
        <v>9</v>
      </c>
      <c r="G685">
        <v>18</v>
      </c>
      <c r="H685" t="s">
        <v>12</v>
      </c>
      <c r="I685">
        <v>880.45</v>
      </c>
      <c r="J685" s="1" t="str">
        <f t="shared" si="30"/>
        <v>valid</v>
      </c>
      <c r="K685" t="e">
        <f t="shared" ca="1" si="31"/>
        <v>#NAME?</v>
      </c>
      <c r="L685" t="str">
        <f>IF(E685&gt;=80,"High Value","Normal")</f>
        <v>Normal</v>
      </c>
      <c r="M685" s="2" t="b">
        <f t="shared" si="32"/>
        <v>0</v>
      </c>
      <c r="N685" t="str">
        <f>VLOOKUP(A685,A684:H1684,8)</f>
        <v>Clothing</v>
      </c>
    </row>
    <row r="686" spans="1:14" x14ac:dyDescent="0.35">
      <c r="A686">
        <v>685</v>
      </c>
      <c r="B686">
        <v>37</v>
      </c>
      <c r="C686" t="s">
        <v>16</v>
      </c>
      <c r="D686">
        <v>104041</v>
      </c>
      <c r="E686">
        <v>64</v>
      </c>
      <c r="F686">
        <v>9</v>
      </c>
      <c r="G686">
        <v>49</v>
      </c>
      <c r="H686" t="s">
        <v>14</v>
      </c>
      <c r="I686">
        <v>117.52</v>
      </c>
      <c r="J686" s="1" t="str">
        <f t="shared" si="30"/>
        <v>valid</v>
      </c>
      <c r="K686" t="e">
        <f t="shared" ca="1" si="31"/>
        <v>#NAME?</v>
      </c>
      <c r="L686" t="str">
        <f>IF(E686&gt;=80,"High Value","Normal")</f>
        <v>Normal</v>
      </c>
      <c r="M686" s="2" t="str">
        <f t="shared" si="32"/>
        <v>YES</v>
      </c>
      <c r="N686" t="str">
        <f>VLOOKUP(A686,A685:H1685,8)</f>
        <v>Home &amp; Garden</v>
      </c>
    </row>
    <row r="687" spans="1:14" x14ac:dyDescent="0.35">
      <c r="A687">
        <v>686</v>
      </c>
      <c r="B687">
        <v>30</v>
      </c>
      <c r="C687" t="s">
        <v>16</v>
      </c>
      <c r="D687">
        <v>115674</v>
      </c>
      <c r="E687">
        <v>78</v>
      </c>
      <c r="F687">
        <v>2</v>
      </c>
      <c r="G687">
        <v>48</v>
      </c>
      <c r="H687" t="s">
        <v>12</v>
      </c>
      <c r="I687">
        <v>621.73</v>
      </c>
      <c r="J687" s="1" t="str">
        <f t="shared" si="30"/>
        <v>valid</v>
      </c>
      <c r="K687" t="e">
        <f t="shared" ca="1" si="31"/>
        <v>#NAME?</v>
      </c>
      <c r="L687" t="str">
        <f>IF(E687&gt;=80,"High Value","Normal")</f>
        <v>Normal</v>
      </c>
      <c r="M687" s="2" t="b">
        <f t="shared" si="32"/>
        <v>0</v>
      </c>
      <c r="N687" t="str">
        <f>VLOOKUP(A687,A686:H1686,8)</f>
        <v>Clothing</v>
      </c>
    </row>
    <row r="688" spans="1:14" x14ac:dyDescent="0.35">
      <c r="A688">
        <v>687</v>
      </c>
      <c r="B688">
        <v>59</v>
      </c>
      <c r="C688" t="s">
        <v>16</v>
      </c>
      <c r="D688">
        <v>65196</v>
      </c>
      <c r="E688">
        <v>22</v>
      </c>
      <c r="F688">
        <v>2</v>
      </c>
      <c r="G688">
        <v>36</v>
      </c>
      <c r="H688" t="s">
        <v>14</v>
      </c>
      <c r="I688">
        <v>625.33000000000004</v>
      </c>
      <c r="J688" s="1" t="str">
        <f t="shared" si="30"/>
        <v>valid</v>
      </c>
      <c r="K688" t="e">
        <f t="shared" ca="1" si="31"/>
        <v>#NAME?</v>
      </c>
      <c r="L688" t="str">
        <f>IF(E688&gt;=80,"High Value","Normal")</f>
        <v>Normal</v>
      </c>
      <c r="M688" s="2" t="str">
        <f t="shared" si="32"/>
        <v>YES</v>
      </c>
      <c r="N688" t="str">
        <f>VLOOKUP(A688,A687:H1687,8)</f>
        <v>Home &amp; Garden</v>
      </c>
    </row>
    <row r="689" spans="1:14" x14ac:dyDescent="0.35">
      <c r="A689">
        <v>688</v>
      </c>
      <c r="B689">
        <v>30</v>
      </c>
      <c r="C689" t="s">
        <v>16</v>
      </c>
      <c r="D689">
        <v>94970</v>
      </c>
      <c r="E689">
        <v>15</v>
      </c>
      <c r="F689">
        <v>4</v>
      </c>
      <c r="G689">
        <v>11</v>
      </c>
      <c r="H689" t="s">
        <v>11</v>
      </c>
      <c r="I689">
        <v>250.07</v>
      </c>
      <c r="J689" s="1" t="str">
        <f t="shared" si="30"/>
        <v>valid</v>
      </c>
      <c r="K689" t="e">
        <f t="shared" ca="1" si="31"/>
        <v>#NAME?</v>
      </c>
      <c r="L689" t="str">
        <f>IF(E689&gt;=80,"High Value","Normal")</f>
        <v>Normal</v>
      </c>
      <c r="M689" s="2" t="b">
        <f t="shared" si="32"/>
        <v>0</v>
      </c>
      <c r="N689" t="str">
        <f>VLOOKUP(A689,A688:H1688,8)</f>
        <v>Sports</v>
      </c>
    </row>
    <row r="690" spans="1:14" x14ac:dyDescent="0.35">
      <c r="A690">
        <v>689</v>
      </c>
      <c r="B690">
        <v>69</v>
      </c>
      <c r="C690" t="s">
        <v>13</v>
      </c>
      <c r="D690">
        <v>45024</v>
      </c>
      <c r="E690">
        <v>38</v>
      </c>
      <c r="F690">
        <v>5</v>
      </c>
      <c r="G690">
        <v>11</v>
      </c>
      <c r="H690" t="s">
        <v>12</v>
      </c>
      <c r="I690">
        <v>830.03</v>
      </c>
      <c r="J690" s="1" t="str">
        <f t="shared" si="30"/>
        <v>valid</v>
      </c>
      <c r="K690" t="e">
        <f t="shared" ca="1" si="31"/>
        <v>#NAME?</v>
      </c>
      <c r="L690" t="str">
        <f>IF(E690&gt;=80,"High Value","Normal")</f>
        <v>Normal</v>
      </c>
      <c r="M690" s="2" t="b">
        <f t="shared" si="32"/>
        <v>0</v>
      </c>
      <c r="N690" t="str">
        <f>VLOOKUP(A690,A689:H1689,8)</f>
        <v>Clothing</v>
      </c>
    </row>
    <row r="691" spans="1:14" x14ac:dyDescent="0.35">
      <c r="A691">
        <v>690</v>
      </c>
      <c r="B691">
        <v>39</v>
      </c>
      <c r="C691" t="s">
        <v>9</v>
      </c>
      <c r="D691">
        <v>141586</v>
      </c>
      <c r="E691">
        <v>50</v>
      </c>
      <c r="F691">
        <v>4</v>
      </c>
      <c r="G691">
        <v>46</v>
      </c>
      <c r="H691" t="s">
        <v>12</v>
      </c>
      <c r="I691">
        <v>659.67</v>
      </c>
      <c r="J691" s="1" t="str">
        <f t="shared" si="30"/>
        <v>valid</v>
      </c>
      <c r="K691" t="e">
        <f t="shared" ca="1" si="31"/>
        <v>#NAME?</v>
      </c>
      <c r="L691" t="str">
        <f>IF(E691&gt;=80,"High Value","Normal")</f>
        <v>Normal</v>
      </c>
      <c r="M691" s="2" t="str">
        <f t="shared" si="32"/>
        <v>YES</v>
      </c>
      <c r="N691" t="str">
        <f>VLOOKUP(A691,A690:H1690,8)</f>
        <v>Clothing</v>
      </c>
    </row>
    <row r="692" spans="1:14" x14ac:dyDescent="0.35">
      <c r="A692">
        <v>691</v>
      </c>
      <c r="B692">
        <v>53</v>
      </c>
      <c r="C692" t="s">
        <v>13</v>
      </c>
      <c r="D692">
        <v>84686</v>
      </c>
      <c r="E692">
        <v>93</v>
      </c>
      <c r="F692">
        <v>8</v>
      </c>
      <c r="G692">
        <v>1</v>
      </c>
      <c r="H692" t="s">
        <v>10</v>
      </c>
      <c r="I692">
        <v>109.54</v>
      </c>
      <c r="J692" s="1" t="str">
        <f t="shared" si="30"/>
        <v>valid</v>
      </c>
      <c r="K692" t="e">
        <f t="shared" ca="1" si="31"/>
        <v>#NAME?</v>
      </c>
      <c r="L692" t="str">
        <f>IF(E692&gt;=80,"High Value","Normal")</f>
        <v>High Value</v>
      </c>
      <c r="M692" s="2" t="b">
        <f t="shared" si="32"/>
        <v>0</v>
      </c>
      <c r="N692" t="str">
        <f>VLOOKUP(A692,A691:H1691,8)</f>
        <v>Groceries</v>
      </c>
    </row>
    <row r="693" spans="1:14" x14ac:dyDescent="0.35">
      <c r="A693">
        <v>692</v>
      </c>
      <c r="B693">
        <v>23</v>
      </c>
      <c r="C693" t="s">
        <v>16</v>
      </c>
      <c r="D693">
        <v>57558</v>
      </c>
      <c r="E693">
        <v>28</v>
      </c>
      <c r="F693">
        <v>6</v>
      </c>
      <c r="G693">
        <v>23</v>
      </c>
      <c r="H693" t="s">
        <v>15</v>
      </c>
      <c r="I693">
        <v>800.78</v>
      </c>
      <c r="J693" s="1" t="str">
        <f t="shared" si="30"/>
        <v>valid</v>
      </c>
      <c r="K693" t="e">
        <f t="shared" ca="1" si="31"/>
        <v>#NAME?</v>
      </c>
      <c r="L693" t="str">
        <f>IF(E693&gt;=80,"High Value","Normal")</f>
        <v>Normal</v>
      </c>
      <c r="M693" s="2" t="b">
        <f t="shared" si="32"/>
        <v>0</v>
      </c>
      <c r="N693" t="str">
        <f>VLOOKUP(A693,A692:H1692,8)</f>
        <v>Electronics</v>
      </c>
    </row>
    <row r="694" spans="1:14" x14ac:dyDescent="0.35">
      <c r="A694">
        <v>693</v>
      </c>
      <c r="B694">
        <v>28</v>
      </c>
      <c r="C694" t="s">
        <v>9</v>
      </c>
      <c r="D694">
        <v>142450</v>
      </c>
      <c r="E694">
        <v>80</v>
      </c>
      <c r="F694">
        <v>3</v>
      </c>
      <c r="G694">
        <v>22</v>
      </c>
      <c r="H694" t="s">
        <v>10</v>
      </c>
      <c r="I694">
        <v>471.87</v>
      </c>
      <c r="J694" s="1" t="str">
        <f t="shared" si="30"/>
        <v>valid</v>
      </c>
      <c r="K694" t="e">
        <f t="shared" ca="1" si="31"/>
        <v>#NAME?</v>
      </c>
      <c r="L694" t="str">
        <f>IF(E694&gt;=80,"High Value","Normal")</f>
        <v>High Value</v>
      </c>
      <c r="M694" s="2" t="b">
        <f t="shared" si="32"/>
        <v>0</v>
      </c>
      <c r="N694" t="str">
        <f>VLOOKUP(A694,A693:H1693,8)</f>
        <v>Groceries</v>
      </c>
    </row>
    <row r="695" spans="1:14" x14ac:dyDescent="0.35">
      <c r="A695">
        <v>694</v>
      </c>
      <c r="B695">
        <v>64</v>
      </c>
      <c r="C695" t="s">
        <v>16</v>
      </c>
      <c r="D695">
        <v>32144</v>
      </c>
      <c r="E695">
        <v>76</v>
      </c>
      <c r="F695">
        <v>2</v>
      </c>
      <c r="G695">
        <v>28</v>
      </c>
      <c r="H695" t="s">
        <v>11</v>
      </c>
      <c r="I695">
        <v>902.66</v>
      </c>
      <c r="J695" s="1" t="str">
        <f t="shared" si="30"/>
        <v>valid</v>
      </c>
      <c r="K695" t="e">
        <f t="shared" ca="1" si="31"/>
        <v>#NAME?</v>
      </c>
      <c r="L695" t="str">
        <f>IF(E695&gt;=80,"High Value","Normal")</f>
        <v>Normal</v>
      </c>
      <c r="M695" s="2" t="str">
        <f t="shared" si="32"/>
        <v>YES</v>
      </c>
      <c r="N695" t="str">
        <f>VLOOKUP(A695,A694:H1694,8)</f>
        <v>Sports</v>
      </c>
    </row>
    <row r="696" spans="1:14" x14ac:dyDescent="0.35">
      <c r="A696">
        <v>695</v>
      </c>
      <c r="B696">
        <v>45</v>
      </c>
      <c r="C696" t="s">
        <v>16</v>
      </c>
      <c r="D696">
        <v>53474</v>
      </c>
      <c r="E696">
        <v>79</v>
      </c>
      <c r="F696">
        <v>8</v>
      </c>
      <c r="G696">
        <v>21</v>
      </c>
      <c r="H696" t="s">
        <v>15</v>
      </c>
      <c r="I696">
        <v>40.32</v>
      </c>
      <c r="J696" s="1" t="str">
        <f t="shared" si="30"/>
        <v>valid</v>
      </c>
      <c r="K696" t="e">
        <f t="shared" ca="1" si="31"/>
        <v>#NAME?</v>
      </c>
      <c r="L696" t="str">
        <f>IF(E696&gt;=80,"High Value","Normal")</f>
        <v>Normal</v>
      </c>
      <c r="M696" s="2" t="str">
        <f t="shared" si="32"/>
        <v>YES</v>
      </c>
      <c r="N696" t="str">
        <f>VLOOKUP(A696,A695:H1695,8)</f>
        <v>Electronics</v>
      </c>
    </row>
    <row r="697" spans="1:14" x14ac:dyDescent="0.35">
      <c r="A697">
        <v>696</v>
      </c>
      <c r="B697">
        <v>61</v>
      </c>
      <c r="C697" t="s">
        <v>16</v>
      </c>
      <c r="D697">
        <v>89720</v>
      </c>
      <c r="E697">
        <v>4</v>
      </c>
      <c r="F697">
        <v>9</v>
      </c>
      <c r="G697">
        <v>8</v>
      </c>
      <c r="H697" t="s">
        <v>10</v>
      </c>
      <c r="I697">
        <v>795.49</v>
      </c>
      <c r="J697" s="1" t="str">
        <f t="shared" si="30"/>
        <v>valid</v>
      </c>
      <c r="K697" t="e">
        <f t="shared" ca="1" si="31"/>
        <v>#NAME?</v>
      </c>
      <c r="L697" t="str">
        <f>IF(E697&gt;=80,"High Value","Normal")</f>
        <v>Normal</v>
      </c>
      <c r="M697" s="2" t="b">
        <f t="shared" si="32"/>
        <v>0</v>
      </c>
      <c r="N697" t="str">
        <f>VLOOKUP(A697,A696:H1696,8)</f>
        <v>Groceries</v>
      </c>
    </row>
    <row r="698" spans="1:14" x14ac:dyDescent="0.35">
      <c r="A698">
        <v>697</v>
      </c>
      <c r="B698">
        <v>36</v>
      </c>
      <c r="C698" t="s">
        <v>9</v>
      </c>
      <c r="D698">
        <v>114281</v>
      </c>
      <c r="E698">
        <v>99</v>
      </c>
      <c r="F698">
        <v>7</v>
      </c>
      <c r="G698">
        <v>6</v>
      </c>
      <c r="H698" t="s">
        <v>11</v>
      </c>
      <c r="I698">
        <v>217.78</v>
      </c>
      <c r="J698" s="1" t="str">
        <f t="shared" si="30"/>
        <v>valid</v>
      </c>
      <c r="K698" t="e">
        <f t="shared" ca="1" si="31"/>
        <v>#NAME?</v>
      </c>
      <c r="L698" t="str">
        <f>IF(E698&gt;=80,"High Value","Normal")</f>
        <v>High Value</v>
      </c>
      <c r="M698" s="2" t="b">
        <f t="shared" si="32"/>
        <v>0</v>
      </c>
      <c r="N698" t="str">
        <f>VLOOKUP(A698,A697:H1697,8)</f>
        <v>Sports</v>
      </c>
    </row>
    <row r="699" spans="1:14" x14ac:dyDescent="0.35">
      <c r="A699">
        <v>698</v>
      </c>
      <c r="B699">
        <v>33</v>
      </c>
      <c r="C699" t="s">
        <v>13</v>
      </c>
      <c r="D699">
        <v>36577</v>
      </c>
      <c r="E699">
        <v>28</v>
      </c>
      <c r="F699">
        <v>4</v>
      </c>
      <c r="G699">
        <v>1</v>
      </c>
      <c r="H699" t="s">
        <v>15</v>
      </c>
      <c r="I699">
        <v>612.54</v>
      </c>
      <c r="J699" s="1" t="str">
        <f t="shared" si="30"/>
        <v>valid</v>
      </c>
      <c r="K699" t="e">
        <f t="shared" ca="1" si="31"/>
        <v>#NAME?</v>
      </c>
      <c r="L699" t="str">
        <f>IF(E699&gt;=80,"High Value","Normal")</f>
        <v>Normal</v>
      </c>
      <c r="M699" s="2" t="b">
        <f t="shared" si="32"/>
        <v>0</v>
      </c>
      <c r="N699" t="str">
        <f>VLOOKUP(A699,A698:H1698,8)</f>
        <v>Electronics</v>
      </c>
    </row>
    <row r="700" spans="1:14" x14ac:dyDescent="0.35">
      <c r="A700">
        <v>699</v>
      </c>
      <c r="B700">
        <v>55</v>
      </c>
      <c r="C700" t="s">
        <v>13</v>
      </c>
      <c r="D700">
        <v>53164</v>
      </c>
      <c r="E700">
        <v>64</v>
      </c>
      <c r="F700">
        <v>2</v>
      </c>
      <c r="G700">
        <v>19</v>
      </c>
      <c r="H700" t="s">
        <v>12</v>
      </c>
      <c r="I700">
        <v>932.41</v>
      </c>
      <c r="J700" s="1" t="str">
        <f t="shared" si="30"/>
        <v>valid</v>
      </c>
      <c r="K700" t="e">
        <f t="shared" ca="1" si="31"/>
        <v>#NAME?</v>
      </c>
      <c r="L700" t="str">
        <f>IF(E700&gt;=80,"High Value","Normal")</f>
        <v>Normal</v>
      </c>
      <c r="M700" s="2" t="b">
        <f t="shared" si="32"/>
        <v>0</v>
      </c>
      <c r="N700" t="str">
        <f>VLOOKUP(A700,A699:H1699,8)</f>
        <v>Clothing</v>
      </c>
    </row>
    <row r="701" spans="1:14" x14ac:dyDescent="0.35">
      <c r="A701">
        <v>700</v>
      </c>
      <c r="B701">
        <v>31</v>
      </c>
      <c r="C701" t="s">
        <v>16</v>
      </c>
      <c r="D701">
        <v>33604</v>
      </c>
      <c r="E701">
        <v>8</v>
      </c>
      <c r="F701">
        <v>5</v>
      </c>
      <c r="G701">
        <v>2</v>
      </c>
      <c r="H701" t="s">
        <v>15</v>
      </c>
      <c r="I701">
        <v>984.15</v>
      </c>
      <c r="J701" s="1" t="str">
        <f t="shared" si="30"/>
        <v>valid</v>
      </c>
      <c r="K701" t="e">
        <f t="shared" ca="1" si="31"/>
        <v>#NAME?</v>
      </c>
      <c r="L701" t="str">
        <f>IF(E701&gt;=80,"High Value","Normal")</f>
        <v>Normal</v>
      </c>
      <c r="M701" s="2" t="b">
        <f t="shared" si="32"/>
        <v>0</v>
      </c>
      <c r="N701" t="str">
        <f>VLOOKUP(A701,A700:H1700,8)</f>
        <v>Electronics</v>
      </c>
    </row>
    <row r="702" spans="1:14" x14ac:dyDescent="0.35">
      <c r="A702">
        <v>701</v>
      </c>
      <c r="B702">
        <v>31</v>
      </c>
      <c r="C702" t="s">
        <v>16</v>
      </c>
      <c r="D702">
        <v>148121</v>
      </c>
      <c r="E702">
        <v>34</v>
      </c>
      <c r="F702">
        <v>9</v>
      </c>
      <c r="G702">
        <v>32</v>
      </c>
      <c r="H702" t="s">
        <v>10</v>
      </c>
      <c r="I702">
        <v>753.49</v>
      </c>
      <c r="J702" s="1" t="str">
        <f t="shared" si="30"/>
        <v>valid</v>
      </c>
      <c r="K702" t="e">
        <f t="shared" ca="1" si="31"/>
        <v>#NAME?</v>
      </c>
      <c r="L702" t="str">
        <f>IF(E702&gt;=80,"High Value","Normal")</f>
        <v>Normal</v>
      </c>
      <c r="M702" s="2" t="str">
        <f t="shared" si="32"/>
        <v>YES</v>
      </c>
      <c r="N702" t="str">
        <f>VLOOKUP(A702,A701:H1701,8)</f>
        <v>Groceries</v>
      </c>
    </row>
    <row r="703" spans="1:14" x14ac:dyDescent="0.35">
      <c r="A703">
        <v>702</v>
      </c>
      <c r="B703">
        <v>26</v>
      </c>
      <c r="C703" t="s">
        <v>9</v>
      </c>
      <c r="D703">
        <v>42499</v>
      </c>
      <c r="E703">
        <v>92</v>
      </c>
      <c r="F703">
        <v>9</v>
      </c>
      <c r="G703">
        <v>50</v>
      </c>
      <c r="H703" t="s">
        <v>15</v>
      </c>
      <c r="I703">
        <v>37.57</v>
      </c>
      <c r="J703" s="1" t="str">
        <f t="shared" si="30"/>
        <v>valid</v>
      </c>
      <c r="K703" t="e">
        <f t="shared" ca="1" si="31"/>
        <v>#NAME?</v>
      </c>
      <c r="L703" t="str">
        <f>IF(E703&gt;=80,"High Value","Normal")</f>
        <v>High Value</v>
      </c>
      <c r="M703" s="2" t="b">
        <f t="shared" si="32"/>
        <v>0</v>
      </c>
      <c r="N703" t="str">
        <f>VLOOKUP(A703,A702:H1702,8)</f>
        <v>Electronics</v>
      </c>
    </row>
    <row r="704" spans="1:14" x14ac:dyDescent="0.35">
      <c r="A704">
        <v>703</v>
      </c>
      <c r="B704">
        <v>26</v>
      </c>
      <c r="C704" t="s">
        <v>9</v>
      </c>
      <c r="D704">
        <v>56466</v>
      </c>
      <c r="E704">
        <v>61</v>
      </c>
      <c r="F704">
        <v>3</v>
      </c>
      <c r="G704">
        <v>12</v>
      </c>
      <c r="H704" t="s">
        <v>14</v>
      </c>
      <c r="I704">
        <v>358.22</v>
      </c>
      <c r="J704" s="1" t="str">
        <f t="shared" si="30"/>
        <v>valid</v>
      </c>
      <c r="K704" t="e">
        <f t="shared" ca="1" si="31"/>
        <v>#NAME?</v>
      </c>
      <c r="L704" t="str">
        <f>IF(E704&gt;=80,"High Value","Normal")</f>
        <v>Normal</v>
      </c>
      <c r="M704" s="2" t="b">
        <f t="shared" si="32"/>
        <v>0</v>
      </c>
      <c r="N704" t="str">
        <f>VLOOKUP(A704,A703:H1703,8)</f>
        <v>Home &amp; Garden</v>
      </c>
    </row>
    <row r="705" spans="1:14" x14ac:dyDescent="0.35">
      <c r="A705">
        <v>704</v>
      </c>
      <c r="B705">
        <v>52</v>
      </c>
      <c r="C705" t="s">
        <v>9</v>
      </c>
      <c r="D705">
        <v>58805</v>
      </c>
      <c r="E705">
        <v>14</v>
      </c>
      <c r="F705">
        <v>2</v>
      </c>
      <c r="G705">
        <v>47</v>
      </c>
      <c r="H705" t="s">
        <v>11</v>
      </c>
      <c r="I705">
        <v>104.35</v>
      </c>
      <c r="J705" s="1" t="str">
        <f t="shared" si="30"/>
        <v>valid</v>
      </c>
      <c r="K705" t="e">
        <f t="shared" ca="1" si="31"/>
        <v>#NAME?</v>
      </c>
      <c r="L705" t="str">
        <f>IF(E705&gt;=80,"High Value","Normal")</f>
        <v>Normal</v>
      </c>
      <c r="M705" s="2" t="str">
        <f t="shared" si="32"/>
        <v>YES</v>
      </c>
      <c r="N705" t="str">
        <f>VLOOKUP(A705,A704:H1704,8)</f>
        <v>Sports</v>
      </c>
    </row>
    <row r="706" spans="1:14" x14ac:dyDescent="0.35">
      <c r="A706">
        <v>705</v>
      </c>
      <c r="B706">
        <v>42</v>
      </c>
      <c r="C706" t="s">
        <v>16</v>
      </c>
      <c r="D706">
        <v>49140</v>
      </c>
      <c r="E706">
        <v>23</v>
      </c>
      <c r="F706">
        <v>9</v>
      </c>
      <c r="G706">
        <v>35</v>
      </c>
      <c r="H706" t="s">
        <v>12</v>
      </c>
      <c r="I706">
        <v>400.23</v>
      </c>
      <c r="J706" s="1" t="str">
        <f t="shared" si="30"/>
        <v>valid</v>
      </c>
      <c r="K706" t="e">
        <f t="shared" ca="1" si="31"/>
        <v>#NAME?</v>
      </c>
      <c r="L706" t="str">
        <f>IF(E706&gt;=80,"High Value","Normal")</f>
        <v>Normal</v>
      </c>
      <c r="M706" s="2" t="str">
        <f t="shared" si="32"/>
        <v>YES</v>
      </c>
      <c r="N706" t="str">
        <f>VLOOKUP(A706,A705:H1705,8)</f>
        <v>Clothing</v>
      </c>
    </row>
    <row r="707" spans="1:14" x14ac:dyDescent="0.35">
      <c r="A707">
        <v>706</v>
      </c>
      <c r="B707">
        <v>29</v>
      </c>
      <c r="C707" t="s">
        <v>9</v>
      </c>
      <c r="D707">
        <v>102972</v>
      </c>
      <c r="E707">
        <v>68</v>
      </c>
      <c r="F707">
        <v>3</v>
      </c>
      <c r="G707">
        <v>39</v>
      </c>
      <c r="H707" t="s">
        <v>12</v>
      </c>
      <c r="I707">
        <v>258.08999999999997</v>
      </c>
      <c r="J707" s="1" t="str">
        <f t="shared" ref="J707:J770" si="33">IF(AND(B707&gt;=18, B707&lt;=100), "valid", "invalid")</f>
        <v>valid</v>
      </c>
      <c r="K707" t="e">
        <f t="shared" ref="K707:K770" ca="1" si="34">IFS(OR(C707= "Female",C707="female",C707= "F"), "Female", OR(C707="Male", C707="male",C707= "M"), "Male", TRUE, "Other")</f>
        <v>#NAME?</v>
      </c>
      <c r="L707" t="str">
        <f>IF(E707&gt;=80,"High Value","Normal")</f>
        <v>Normal</v>
      </c>
      <c r="M707" s="2" t="b">
        <f t="shared" ref="M707:M770" si="35">IF(AND(B707&gt;30,G707&gt;20), "YES")</f>
        <v>0</v>
      </c>
      <c r="N707" t="str">
        <f>VLOOKUP(A707,A706:H1706,8)</f>
        <v>Clothing</v>
      </c>
    </row>
    <row r="708" spans="1:14" x14ac:dyDescent="0.35">
      <c r="A708">
        <v>707</v>
      </c>
      <c r="B708">
        <v>47</v>
      </c>
      <c r="C708" t="s">
        <v>9</v>
      </c>
      <c r="D708">
        <v>128439</v>
      </c>
      <c r="E708">
        <v>42</v>
      </c>
      <c r="F708">
        <v>5</v>
      </c>
      <c r="G708">
        <v>22</v>
      </c>
      <c r="H708" t="s">
        <v>11</v>
      </c>
      <c r="I708">
        <v>219.02</v>
      </c>
      <c r="J708" s="1" t="str">
        <f t="shared" si="33"/>
        <v>valid</v>
      </c>
      <c r="K708" t="e">
        <f t="shared" ca="1" si="34"/>
        <v>#NAME?</v>
      </c>
      <c r="L708" t="str">
        <f>IF(E708&gt;=80,"High Value","Normal")</f>
        <v>Normal</v>
      </c>
      <c r="M708" s="2" t="str">
        <f t="shared" si="35"/>
        <v>YES</v>
      </c>
      <c r="N708" t="str">
        <f>VLOOKUP(A708,A707:H1707,8)</f>
        <v>Sports</v>
      </c>
    </row>
    <row r="709" spans="1:14" x14ac:dyDescent="0.35">
      <c r="A709">
        <v>708</v>
      </c>
      <c r="B709">
        <v>68</v>
      </c>
      <c r="C709" t="s">
        <v>16</v>
      </c>
      <c r="D709">
        <v>47482</v>
      </c>
      <c r="E709">
        <v>100</v>
      </c>
      <c r="F709">
        <v>9</v>
      </c>
      <c r="G709">
        <v>49</v>
      </c>
      <c r="H709" t="s">
        <v>12</v>
      </c>
      <c r="I709">
        <v>170.56</v>
      </c>
      <c r="J709" s="1" t="str">
        <f t="shared" si="33"/>
        <v>valid</v>
      </c>
      <c r="K709" t="e">
        <f t="shared" ca="1" si="34"/>
        <v>#NAME?</v>
      </c>
      <c r="L709" t="str">
        <f>IF(E709&gt;=80,"High Value","Normal")</f>
        <v>High Value</v>
      </c>
      <c r="M709" s="2" t="str">
        <f t="shared" si="35"/>
        <v>YES</v>
      </c>
      <c r="N709" t="str">
        <f>VLOOKUP(A709,A708:H1708,8)</f>
        <v>Clothing</v>
      </c>
    </row>
    <row r="710" spans="1:14" x14ac:dyDescent="0.35">
      <c r="A710">
        <v>709</v>
      </c>
      <c r="B710">
        <v>44</v>
      </c>
      <c r="C710" t="s">
        <v>9</v>
      </c>
      <c r="D710">
        <v>118123</v>
      </c>
      <c r="E710">
        <v>40</v>
      </c>
      <c r="F710">
        <v>8</v>
      </c>
      <c r="G710">
        <v>31</v>
      </c>
      <c r="H710" t="s">
        <v>12</v>
      </c>
      <c r="I710">
        <v>140.52000000000001</v>
      </c>
      <c r="J710" s="1" t="str">
        <f t="shared" si="33"/>
        <v>valid</v>
      </c>
      <c r="K710" t="e">
        <f t="shared" ca="1" si="34"/>
        <v>#NAME?</v>
      </c>
      <c r="L710" t="str">
        <f>IF(E710&gt;=80,"High Value","Normal")</f>
        <v>Normal</v>
      </c>
      <c r="M710" s="2" t="str">
        <f t="shared" si="35"/>
        <v>YES</v>
      </c>
      <c r="N710" t="str">
        <f>VLOOKUP(A710,A709:H1709,8)</f>
        <v>Clothing</v>
      </c>
    </row>
    <row r="711" spans="1:14" x14ac:dyDescent="0.35">
      <c r="A711">
        <v>710</v>
      </c>
      <c r="B711">
        <v>43</v>
      </c>
      <c r="C711" t="s">
        <v>9</v>
      </c>
      <c r="D711">
        <v>43545</v>
      </c>
      <c r="E711">
        <v>67</v>
      </c>
      <c r="F711">
        <v>5</v>
      </c>
      <c r="G711">
        <v>41</v>
      </c>
      <c r="H711" t="s">
        <v>15</v>
      </c>
      <c r="I711">
        <v>179.71</v>
      </c>
      <c r="J711" s="1" t="str">
        <f t="shared" si="33"/>
        <v>valid</v>
      </c>
      <c r="K711" t="e">
        <f t="shared" ca="1" si="34"/>
        <v>#NAME?</v>
      </c>
      <c r="L711" t="str">
        <f>IF(E711&gt;=80,"High Value","Normal")</f>
        <v>Normal</v>
      </c>
      <c r="M711" s="2" t="str">
        <f t="shared" si="35"/>
        <v>YES</v>
      </c>
      <c r="N711" t="str">
        <f>VLOOKUP(A711,A710:H1710,8)</f>
        <v>Electronics</v>
      </c>
    </row>
    <row r="712" spans="1:14" x14ac:dyDescent="0.35">
      <c r="A712">
        <v>711</v>
      </c>
      <c r="B712">
        <v>43</v>
      </c>
      <c r="C712" t="s">
        <v>13</v>
      </c>
      <c r="D712">
        <v>51398</v>
      </c>
      <c r="E712">
        <v>12</v>
      </c>
      <c r="F712">
        <v>4</v>
      </c>
      <c r="G712">
        <v>26</v>
      </c>
      <c r="H712" t="s">
        <v>11</v>
      </c>
      <c r="I712">
        <v>117.85</v>
      </c>
      <c r="J712" s="1" t="str">
        <f t="shared" si="33"/>
        <v>valid</v>
      </c>
      <c r="K712" t="e">
        <f t="shared" ca="1" si="34"/>
        <v>#NAME?</v>
      </c>
      <c r="L712" t="str">
        <f>IF(E712&gt;=80,"High Value","Normal")</f>
        <v>Normal</v>
      </c>
      <c r="M712" s="2" t="str">
        <f t="shared" si="35"/>
        <v>YES</v>
      </c>
      <c r="N712" t="str">
        <f>VLOOKUP(A712,A711:H1711,8)</f>
        <v>Sports</v>
      </c>
    </row>
    <row r="713" spans="1:14" x14ac:dyDescent="0.35">
      <c r="A713">
        <v>712</v>
      </c>
      <c r="B713">
        <v>18</v>
      </c>
      <c r="C713" t="s">
        <v>16</v>
      </c>
      <c r="D713">
        <v>141318</v>
      </c>
      <c r="E713">
        <v>37</v>
      </c>
      <c r="F713">
        <v>6</v>
      </c>
      <c r="G713">
        <v>28</v>
      </c>
      <c r="H713" t="s">
        <v>14</v>
      </c>
      <c r="I713">
        <v>428.33</v>
      </c>
      <c r="J713" s="1" t="str">
        <f t="shared" si="33"/>
        <v>valid</v>
      </c>
      <c r="K713" t="e">
        <f t="shared" ca="1" si="34"/>
        <v>#NAME?</v>
      </c>
      <c r="L713" t="str">
        <f>IF(E713&gt;=80,"High Value","Normal")</f>
        <v>Normal</v>
      </c>
      <c r="M713" s="2" t="b">
        <f t="shared" si="35"/>
        <v>0</v>
      </c>
      <c r="N713" t="str">
        <f>VLOOKUP(A713,A712:H1712,8)</f>
        <v>Home &amp; Garden</v>
      </c>
    </row>
    <row r="714" spans="1:14" x14ac:dyDescent="0.35">
      <c r="A714">
        <v>713</v>
      </c>
      <c r="B714">
        <v>19</v>
      </c>
      <c r="C714" t="s">
        <v>9</v>
      </c>
      <c r="D714">
        <v>76416</v>
      </c>
      <c r="E714">
        <v>26</v>
      </c>
      <c r="F714">
        <v>6</v>
      </c>
      <c r="G714">
        <v>20</v>
      </c>
      <c r="H714" t="s">
        <v>15</v>
      </c>
      <c r="I714">
        <v>385.1</v>
      </c>
      <c r="J714" s="1" t="str">
        <f t="shared" si="33"/>
        <v>valid</v>
      </c>
      <c r="K714" t="e">
        <f t="shared" ca="1" si="34"/>
        <v>#NAME?</v>
      </c>
      <c r="L714" t="str">
        <f>IF(E714&gt;=80,"High Value","Normal")</f>
        <v>Normal</v>
      </c>
      <c r="M714" s="2" t="b">
        <f t="shared" si="35"/>
        <v>0</v>
      </c>
      <c r="N714" t="str">
        <f>VLOOKUP(A714,A713:H1713,8)</f>
        <v>Electronics</v>
      </c>
    </row>
    <row r="715" spans="1:14" x14ac:dyDescent="0.35">
      <c r="A715">
        <v>714</v>
      </c>
      <c r="B715">
        <v>30</v>
      </c>
      <c r="C715" t="s">
        <v>16</v>
      </c>
      <c r="D715">
        <v>100115</v>
      </c>
      <c r="E715">
        <v>54</v>
      </c>
      <c r="F715">
        <v>2</v>
      </c>
      <c r="G715">
        <v>36</v>
      </c>
      <c r="H715" t="s">
        <v>11</v>
      </c>
      <c r="I715">
        <v>789.67</v>
      </c>
      <c r="J715" s="1" t="str">
        <f t="shared" si="33"/>
        <v>valid</v>
      </c>
      <c r="K715" t="e">
        <f t="shared" ca="1" si="34"/>
        <v>#NAME?</v>
      </c>
      <c r="L715" t="str">
        <f>IF(E715&gt;=80,"High Value","Normal")</f>
        <v>Normal</v>
      </c>
      <c r="M715" s="2" t="b">
        <f t="shared" si="35"/>
        <v>0</v>
      </c>
      <c r="N715" t="str">
        <f>VLOOKUP(A715,A714:H1714,8)</f>
        <v>Sports</v>
      </c>
    </row>
    <row r="716" spans="1:14" x14ac:dyDescent="0.35">
      <c r="A716">
        <v>715</v>
      </c>
      <c r="B716">
        <v>43</v>
      </c>
      <c r="C716" t="s">
        <v>13</v>
      </c>
      <c r="D716">
        <v>67912</v>
      </c>
      <c r="E716">
        <v>71</v>
      </c>
      <c r="F716">
        <v>10</v>
      </c>
      <c r="G716">
        <v>35</v>
      </c>
      <c r="H716" t="s">
        <v>15</v>
      </c>
      <c r="I716">
        <v>698.03</v>
      </c>
      <c r="J716" s="1" t="str">
        <f t="shared" si="33"/>
        <v>valid</v>
      </c>
      <c r="K716" t="e">
        <f t="shared" ca="1" si="34"/>
        <v>#NAME?</v>
      </c>
      <c r="L716" t="str">
        <f>IF(E716&gt;=80,"High Value","Normal")</f>
        <v>Normal</v>
      </c>
      <c r="M716" s="2" t="str">
        <f t="shared" si="35"/>
        <v>YES</v>
      </c>
      <c r="N716" t="str">
        <f>VLOOKUP(A716,A715:H1715,8)</f>
        <v>Electronics</v>
      </c>
    </row>
    <row r="717" spans="1:14" x14ac:dyDescent="0.35">
      <c r="A717">
        <v>716</v>
      </c>
      <c r="B717">
        <v>48</v>
      </c>
      <c r="C717" t="s">
        <v>9</v>
      </c>
      <c r="D717">
        <v>74273</v>
      </c>
      <c r="E717">
        <v>23</v>
      </c>
      <c r="F717">
        <v>10</v>
      </c>
      <c r="G717">
        <v>46</v>
      </c>
      <c r="H717" t="s">
        <v>11</v>
      </c>
      <c r="I717">
        <v>626.27</v>
      </c>
      <c r="J717" s="1" t="str">
        <f t="shared" si="33"/>
        <v>valid</v>
      </c>
      <c r="K717" t="e">
        <f t="shared" ca="1" si="34"/>
        <v>#NAME?</v>
      </c>
      <c r="L717" t="str">
        <f>IF(E717&gt;=80,"High Value","Normal")</f>
        <v>Normal</v>
      </c>
      <c r="M717" s="2" t="str">
        <f t="shared" si="35"/>
        <v>YES</v>
      </c>
      <c r="N717" t="str">
        <f>VLOOKUP(A717,A716:H1716,8)</f>
        <v>Sports</v>
      </c>
    </row>
    <row r="718" spans="1:14" x14ac:dyDescent="0.35">
      <c r="A718">
        <v>717</v>
      </c>
      <c r="B718">
        <v>47</v>
      </c>
      <c r="C718" t="s">
        <v>16</v>
      </c>
      <c r="D718">
        <v>136278</v>
      </c>
      <c r="E718">
        <v>76</v>
      </c>
      <c r="F718">
        <v>10</v>
      </c>
      <c r="G718">
        <v>48</v>
      </c>
      <c r="H718" t="s">
        <v>12</v>
      </c>
      <c r="I718">
        <v>233.64</v>
      </c>
      <c r="J718" s="1" t="str">
        <f t="shared" si="33"/>
        <v>valid</v>
      </c>
      <c r="K718" t="e">
        <f t="shared" ca="1" si="34"/>
        <v>#NAME?</v>
      </c>
      <c r="L718" t="str">
        <f>IF(E718&gt;=80,"High Value","Normal")</f>
        <v>Normal</v>
      </c>
      <c r="M718" s="2" t="str">
        <f t="shared" si="35"/>
        <v>YES</v>
      </c>
      <c r="N718" t="str">
        <f>VLOOKUP(A718,A717:H1717,8)</f>
        <v>Clothing</v>
      </c>
    </row>
    <row r="719" spans="1:14" x14ac:dyDescent="0.35">
      <c r="A719">
        <v>718</v>
      </c>
      <c r="B719">
        <v>57</v>
      </c>
      <c r="C719" t="s">
        <v>9</v>
      </c>
      <c r="D719">
        <v>108833</v>
      </c>
      <c r="E719">
        <v>77</v>
      </c>
      <c r="F719">
        <v>3</v>
      </c>
      <c r="G719">
        <v>37</v>
      </c>
      <c r="H719" t="s">
        <v>14</v>
      </c>
      <c r="I719">
        <v>623.78</v>
      </c>
      <c r="J719" s="1" t="str">
        <f t="shared" si="33"/>
        <v>valid</v>
      </c>
      <c r="K719" t="e">
        <f t="shared" ca="1" si="34"/>
        <v>#NAME?</v>
      </c>
      <c r="L719" t="str">
        <f>IF(E719&gt;=80,"High Value","Normal")</f>
        <v>Normal</v>
      </c>
      <c r="M719" s="2" t="str">
        <f t="shared" si="35"/>
        <v>YES</v>
      </c>
      <c r="N719" t="str">
        <f>VLOOKUP(A719,A718:H1718,8)</f>
        <v>Home &amp; Garden</v>
      </c>
    </row>
    <row r="720" spans="1:14" x14ac:dyDescent="0.35">
      <c r="A720">
        <v>719</v>
      </c>
      <c r="B720">
        <v>21</v>
      </c>
      <c r="C720" t="s">
        <v>9</v>
      </c>
      <c r="D720">
        <v>119226</v>
      </c>
      <c r="E720">
        <v>21</v>
      </c>
      <c r="F720">
        <v>8</v>
      </c>
      <c r="G720">
        <v>50</v>
      </c>
      <c r="H720" t="s">
        <v>11</v>
      </c>
      <c r="I720">
        <v>772.63</v>
      </c>
      <c r="J720" s="1" t="str">
        <f t="shared" si="33"/>
        <v>valid</v>
      </c>
      <c r="K720" t="e">
        <f t="shared" ca="1" si="34"/>
        <v>#NAME?</v>
      </c>
      <c r="L720" t="str">
        <f>IF(E720&gt;=80,"High Value","Normal")</f>
        <v>Normal</v>
      </c>
      <c r="M720" s="2" t="b">
        <f t="shared" si="35"/>
        <v>0</v>
      </c>
      <c r="N720" t="str">
        <f>VLOOKUP(A720,A719:H1719,8)</f>
        <v>Sports</v>
      </c>
    </row>
    <row r="721" spans="1:14" x14ac:dyDescent="0.35">
      <c r="A721">
        <v>720</v>
      </c>
      <c r="B721">
        <v>69</v>
      </c>
      <c r="C721" t="s">
        <v>13</v>
      </c>
      <c r="D721">
        <v>72651</v>
      </c>
      <c r="E721">
        <v>58</v>
      </c>
      <c r="F721">
        <v>5</v>
      </c>
      <c r="G721">
        <v>30</v>
      </c>
      <c r="H721" t="s">
        <v>15</v>
      </c>
      <c r="I721">
        <v>103.11</v>
      </c>
      <c r="J721" s="1" t="str">
        <f t="shared" si="33"/>
        <v>valid</v>
      </c>
      <c r="K721" t="e">
        <f t="shared" ca="1" si="34"/>
        <v>#NAME?</v>
      </c>
      <c r="L721" t="str">
        <f>IF(E721&gt;=80,"High Value","Normal")</f>
        <v>Normal</v>
      </c>
      <c r="M721" s="2" t="str">
        <f t="shared" si="35"/>
        <v>YES</v>
      </c>
      <c r="N721" t="str">
        <f>VLOOKUP(A721,A720:H1720,8)</f>
        <v>Electronics</v>
      </c>
    </row>
    <row r="722" spans="1:14" x14ac:dyDescent="0.35">
      <c r="A722">
        <v>721</v>
      </c>
      <c r="B722">
        <v>27</v>
      </c>
      <c r="C722" t="s">
        <v>16</v>
      </c>
      <c r="D722">
        <v>114848</v>
      </c>
      <c r="E722">
        <v>66</v>
      </c>
      <c r="F722">
        <v>10</v>
      </c>
      <c r="G722">
        <v>38</v>
      </c>
      <c r="H722" t="s">
        <v>10</v>
      </c>
      <c r="I722">
        <v>912.58</v>
      </c>
      <c r="J722" s="1" t="str">
        <f t="shared" si="33"/>
        <v>valid</v>
      </c>
      <c r="K722" t="e">
        <f t="shared" ca="1" si="34"/>
        <v>#NAME?</v>
      </c>
      <c r="L722" t="str">
        <f>IF(E722&gt;=80,"High Value","Normal")</f>
        <v>Normal</v>
      </c>
      <c r="M722" s="2" t="b">
        <f t="shared" si="35"/>
        <v>0</v>
      </c>
      <c r="N722" t="str">
        <f>VLOOKUP(A722,A721:H1721,8)</f>
        <v>Groceries</v>
      </c>
    </row>
    <row r="723" spans="1:14" x14ac:dyDescent="0.35">
      <c r="A723">
        <v>722</v>
      </c>
      <c r="B723">
        <v>45</v>
      </c>
      <c r="C723" t="s">
        <v>16</v>
      </c>
      <c r="D723">
        <v>127989</v>
      </c>
      <c r="E723">
        <v>99</v>
      </c>
      <c r="F723">
        <v>1</v>
      </c>
      <c r="G723">
        <v>42</v>
      </c>
      <c r="H723" t="s">
        <v>14</v>
      </c>
      <c r="I723">
        <v>683.99</v>
      </c>
      <c r="J723" s="1" t="str">
        <f t="shared" si="33"/>
        <v>valid</v>
      </c>
      <c r="K723" t="e">
        <f t="shared" ca="1" si="34"/>
        <v>#NAME?</v>
      </c>
      <c r="L723" t="str">
        <f>IF(E723&gt;=80,"High Value","Normal")</f>
        <v>High Value</v>
      </c>
      <c r="M723" s="2" t="str">
        <f t="shared" si="35"/>
        <v>YES</v>
      </c>
      <c r="N723" t="str">
        <f>VLOOKUP(A723,A722:H1722,8)</f>
        <v>Home &amp; Garden</v>
      </c>
    </row>
    <row r="724" spans="1:14" x14ac:dyDescent="0.35">
      <c r="A724">
        <v>723</v>
      </c>
      <c r="B724">
        <v>20</v>
      </c>
      <c r="C724" t="s">
        <v>16</v>
      </c>
      <c r="D724">
        <v>48504</v>
      </c>
      <c r="E724">
        <v>27</v>
      </c>
      <c r="F724">
        <v>3</v>
      </c>
      <c r="G724">
        <v>28</v>
      </c>
      <c r="H724" t="s">
        <v>10</v>
      </c>
      <c r="I724">
        <v>658.54</v>
      </c>
      <c r="J724" s="1" t="str">
        <f t="shared" si="33"/>
        <v>valid</v>
      </c>
      <c r="K724" t="e">
        <f t="shared" ca="1" si="34"/>
        <v>#NAME?</v>
      </c>
      <c r="L724" t="str">
        <f>IF(E724&gt;=80,"High Value","Normal")</f>
        <v>Normal</v>
      </c>
      <c r="M724" s="2" t="b">
        <f t="shared" si="35"/>
        <v>0</v>
      </c>
      <c r="N724" t="str">
        <f>VLOOKUP(A724,A723:H1723,8)</f>
        <v>Groceries</v>
      </c>
    </row>
    <row r="725" spans="1:14" x14ac:dyDescent="0.35">
      <c r="A725">
        <v>724</v>
      </c>
      <c r="B725">
        <v>21</v>
      </c>
      <c r="C725" t="s">
        <v>13</v>
      </c>
      <c r="D725">
        <v>114762</v>
      </c>
      <c r="E725">
        <v>28</v>
      </c>
      <c r="F725">
        <v>3</v>
      </c>
      <c r="G725">
        <v>7</v>
      </c>
      <c r="H725" t="s">
        <v>11</v>
      </c>
      <c r="I725">
        <v>397.54</v>
      </c>
      <c r="J725" s="1" t="str">
        <f t="shared" si="33"/>
        <v>valid</v>
      </c>
      <c r="K725" t="e">
        <f t="shared" ca="1" si="34"/>
        <v>#NAME?</v>
      </c>
      <c r="L725" t="str">
        <f>IF(E725&gt;=80,"High Value","Normal")</f>
        <v>Normal</v>
      </c>
      <c r="M725" s="2" t="b">
        <f t="shared" si="35"/>
        <v>0</v>
      </c>
      <c r="N725" t="str">
        <f>VLOOKUP(A725,A724:H1724,8)</f>
        <v>Sports</v>
      </c>
    </row>
    <row r="726" spans="1:14" x14ac:dyDescent="0.35">
      <c r="A726">
        <v>725</v>
      </c>
      <c r="B726">
        <v>48</v>
      </c>
      <c r="C726" t="s">
        <v>9</v>
      </c>
      <c r="D726">
        <v>108563</v>
      </c>
      <c r="E726">
        <v>3</v>
      </c>
      <c r="F726">
        <v>8</v>
      </c>
      <c r="G726">
        <v>39</v>
      </c>
      <c r="H726" t="s">
        <v>12</v>
      </c>
      <c r="I726">
        <v>15.72</v>
      </c>
      <c r="J726" s="1" t="str">
        <f t="shared" si="33"/>
        <v>valid</v>
      </c>
      <c r="K726" t="e">
        <f t="shared" ca="1" si="34"/>
        <v>#NAME?</v>
      </c>
      <c r="L726" t="str">
        <f>IF(E726&gt;=80,"High Value","Normal")</f>
        <v>Normal</v>
      </c>
      <c r="M726" s="2" t="str">
        <f t="shared" si="35"/>
        <v>YES</v>
      </c>
      <c r="N726" t="str">
        <f>VLOOKUP(A726,A725:H1725,8)</f>
        <v>Clothing</v>
      </c>
    </row>
    <row r="727" spans="1:14" x14ac:dyDescent="0.35">
      <c r="A727">
        <v>726</v>
      </c>
      <c r="B727">
        <v>40</v>
      </c>
      <c r="C727" t="s">
        <v>13</v>
      </c>
      <c r="D727">
        <v>105994</v>
      </c>
      <c r="E727">
        <v>39</v>
      </c>
      <c r="F727">
        <v>9</v>
      </c>
      <c r="G727">
        <v>17</v>
      </c>
      <c r="H727" t="s">
        <v>14</v>
      </c>
      <c r="I727">
        <v>347.21</v>
      </c>
      <c r="J727" s="1" t="str">
        <f t="shared" si="33"/>
        <v>valid</v>
      </c>
      <c r="K727" t="e">
        <f t="shared" ca="1" si="34"/>
        <v>#NAME?</v>
      </c>
      <c r="L727" t="str">
        <f>IF(E727&gt;=80,"High Value","Normal")</f>
        <v>Normal</v>
      </c>
      <c r="M727" s="2" t="b">
        <f t="shared" si="35"/>
        <v>0</v>
      </c>
      <c r="N727" t="str">
        <f>VLOOKUP(A727,A726:H1726,8)</f>
        <v>Home &amp; Garden</v>
      </c>
    </row>
    <row r="728" spans="1:14" x14ac:dyDescent="0.35">
      <c r="A728">
        <v>727</v>
      </c>
      <c r="B728">
        <v>18</v>
      </c>
      <c r="C728" t="s">
        <v>13</v>
      </c>
      <c r="D728">
        <v>84764</v>
      </c>
      <c r="E728">
        <v>2</v>
      </c>
      <c r="F728">
        <v>6</v>
      </c>
      <c r="G728">
        <v>49</v>
      </c>
      <c r="H728" t="s">
        <v>14</v>
      </c>
      <c r="I728">
        <v>348.51</v>
      </c>
      <c r="J728" s="1" t="str">
        <f t="shared" si="33"/>
        <v>valid</v>
      </c>
      <c r="K728" t="e">
        <f t="shared" ca="1" si="34"/>
        <v>#NAME?</v>
      </c>
      <c r="L728" t="str">
        <f>IF(E728&gt;=80,"High Value","Normal")</f>
        <v>Normal</v>
      </c>
      <c r="M728" s="2" t="b">
        <f t="shared" si="35"/>
        <v>0</v>
      </c>
      <c r="N728" t="str">
        <f>VLOOKUP(A728,A727:H1727,8)</f>
        <v>Home &amp; Garden</v>
      </c>
    </row>
    <row r="729" spans="1:14" x14ac:dyDescent="0.35">
      <c r="A729">
        <v>728</v>
      </c>
      <c r="B729">
        <v>28</v>
      </c>
      <c r="C729" t="s">
        <v>13</v>
      </c>
      <c r="D729">
        <v>53503</v>
      </c>
      <c r="E729">
        <v>39</v>
      </c>
      <c r="F729">
        <v>5</v>
      </c>
      <c r="G729">
        <v>30</v>
      </c>
      <c r="H729" t="s">
        <v>10</v>
      </c>
      <c r="I729">
        <v>591.64</v>
      </c>
      <c r="J729" s="1" t="str">
        <f t="shared" si="33"/>
        <v>valid</v>
      </c>
      <c r="K729" t="e">
        <f t="shared" ca="1" si="34"/>
        <v>#NAME?</v>
      </c>
      <c r="L729" t="str">
        <f>IF(E729&gt;=80,"High Value","Normal")</f>
        <v>Normal</v>
      </c>
      <c r="M729" s="2" t="b">
        <f t="shared" si="35"/>
        <v>0</v>
      </c>
      <c r="N729" t="str">
        <f>VLOOKUP(A729,A728:H1728,8)</f>
        <v>Groceries</v>
      </c>
    </row>
    <row r="730" spans="1:14" x14ac:dyDescent="0.35">
      <c r="A730">
        <v>729</v>
      </c>
      <c r="B730">
        <v>50</v>
      </c>
      <c r="C730" t="s">
        <v>16</v>
      </c>
      <c r="D730">
        <v>86985</v>
      </c>
      <c r="E730">
        <v>77</v>
      </c>
      <c r="F730">
        <v>8</v>
      </c>
      <c r="G730">
        <v>11</v>
      </c>
      <c r="H730" t="s">
        <v>11</v>
      </c>
      <c r="I730">
        <v>964.1</v>
      </c>
      <c r="J730" s="1" t="str">
        <f t="shared" si="33"/>
        <v>valid</v>
      </c>
      <c r="K730" t="e">
        <f t="shared" ca="1" si="34"/>
        <v>#NAME?</v>
      </c>
      <c r="L730" t="str">
        <f>IF(E730&gt;=80,"High Value","Normal")</f>
        <v>Normal</v>
      </c>
      <c r="M730" s="2" t="b">
        <f t="shared" si="35"/>
        <v>0</v>
      </c>
      <c r="N730" t="str">
        <f>VLOOKUP(A730,A729:H1729,8)</f>
        <v>Sports</v>
      </c>
    </row>
    <row r="731" spans="1:14" x14ac:dyDescent="0.35">
      <c r="A731">
        <v>730</v>
      </c>
      <c r="B731">
        <v>19</v>
      </c>
      <c r="C731" t="s">
        <v>16</v>
      </c>
      <c r="D731">
        <v>85349</v>
      </c>
      <c r="E731">
        <v>77</v>
      </c>
      <c r="F731">
        <v>8</v>
      </c>
      <c r="G731">
        <v>29</v>
      </c>
      <c r="H731" t="s">
        <v>14</v>
      </c>
      <c r="I731">
        <v>381.04</v>
      </c>
      <c r="J731" s="1" t="str">
        <f t="shared" si="33"/>
        <v>valid</v>
      </c>
      <c r="K731" t="e">
        <f t="shared" ca="1" si="34"/>
        <v>#NAME?</v>
      </c>
      <c r="L731" t="str">
        <f>IF(E731&gt;=80,"High Value","Normal")</f>
        <v>Normal</v>
      </c>
      <c r="M731" s="2" t="b">
        <f t="shared" si="35"/>
        <v>0</v>
      </c>
      <c r="N731" t="str">
        <f>VLOOKUP(A731,A730:H1730,8)</f>
        <v>Home &amp; Garden</v>
      </c>
    </row>
    <row r="732" spans="1:14" x14ac:dyDescent="0.35">
      <c r="A732">
        <v>731</v>
      </c>
      <c r="B732">
        <v>53</v>
      </c>
      <c r="C732" t="s">
        <v>9</v>
      </c>
      <c r="D732">
        <v>52855</v>
      </c>
      <c r="E732">
        <v>12</v>
      </c>
      <c r="F732">
        <v>5</v>
      </c>
      <c r="G732">
        <v>33</v>
      </c>
      <c r="H732" t="s">
        <v>10</v>
      </c>
      <c r="I732">
        <v>444.09</v>
      </c>
      <c r="J732" s="1" t="str">
        <f t="shared" si="33"/>
        <v>valid</v>
      </c>
      <c r="K732" t="e">
        <f t="shared" ca="1" si="34"/>
        <v>#NAME?</v>
      </c>
      <c r="L732" t="str">
        <f>IF(E732&gt;=80,"High Value","Normal")</f>
        <v>Normal</v>
      </c>
      <c r="M732" s="2" t="str">
        <f t="shared" si="35"/>
        <v>YES</v>
      </c>
      <c r="N732" t="str">
        <f>VLOOKUP(A732,A731:H1731,8)</f>
        <v>Groceries</v>
      </c>
    </row>
    <row r="733" spans="1:14" x14ac:dyDescent="0.35">
      <c r="A733">
        <v>732</v>
      </c>
      <c r="B733">
        <v>29</v>
      </c>
      <c r="C733" t="s">
        <v>13</v>
      </c>
      <c r="D733">
        <v>66264</v>
      </c>
      <c r="E733">
        <v>85</v>
      </c>
      <c r="F733">
        <v>2</v>
      </c>
      <c r="G733">
        <v>8</v>
      </c>
      <c r="H733" t="s">
        <v>15</v>
      </c>
      <c r="I733">
        <v>743.3</v>
      </c>
      <c r="J733" s="1" t="str">
        <f t="shared" si="33"/>
        <v>valid</v>
      </c>
      <c r="K733" t="e">
        <f t="shared" ca="1" si="34"/>
        <v>#NAME?</v>
      </c>
      <c r="L733" t="str">
        <f>IF(E733&gt;=80,"High Value","Normal")</f>
        <v>High Value</v>
      </c>
      <c r="M733" s="2" t="b">
        <f t="shared" si="35"/>
        <v>0</v>
      </c>
      <c r="N733" t="str">
        <f>VLOOKUP(A733,A732:H1732,8)</f>
        <v>Electronics</v>
      </c>
    </row>
    <row r="734" spans="1:14" x14ac:dyDescent="0.35">
      <c r="A734">
        <v>733</v>
      </c>
      <c r="B734">
        <v>49</v>
      </c>
      <c r="C734" t="s">
        <v>16</v>
      </c>
      <c r="D734">
        <v>56707</v>
      </c>
      <c r="E734">
        <v>6</v>
      </c>
      <c r="F734">
        <v>8</v>
      </c>
      <c r="G734">
        <v>29</v>
      </c>
      <c r="H734" t="s">
        <v>15</v>
      </c>
      <c r="I734">
        <v>604.53</v>
      </c>
      <c r="J734" s="1" t="str">
        <f t="shared" si="33"/>
        <v>valid</v>
      </c>
      <c r="K734" t="e">
        <f t="shared" ca="1" si="34"/>
        <v>#NAME?</v>
      </c>
      <c r="L734" t="str">
        <f>IF(E734&gt;=80,"High Value","Normal")</f>
        <v>Normal</v>
      </c>
      <c r="M734" s="2" t="str">
        <f t="shared" si="35"/>
        <v>YES</v>
      </c>
      <c r="N734" t="str">
        <f>VLOOKUP(A734,A733:H1733,8)</f>
        <v>Electronics</v>
      </c>
    </row>
    <row r="735" spans="1:14" x14ac:dyDescent="0.35">
      <c r="A735">
        <v>734</v>
      </c>
      <c r="B735">
        <v>23</v>
      </c>
      <c r="C735" t="s">
        <v>13</v>
      </c>
      <c r="D735">
        <v>66886</v>
      </c>
      <c r="E735">
        <v>7</v>
      </c>
      <c r="F735">
        <v>6</v>
      </c>
      <c r="G735">
        <v>40</v>
      </c>
      <c r="H735" t="s">
        <v>15</v>
      </c>
      <c r="I735">
        <v>322.64</v>
      </c>
      <c r="J735" s="1" t="str">
        <f t="shared" si="33"/>
        <v>valid</v>
      </c>
      <c r="K735" t="e">
        <f t="shared" ca="1" si="34"/>
        <v>#NAME?</v>
      </c>
      <c r="L735" t="str">
        <f>IF(E735&gt;=80,"High Value","Normal")</f>
        <v>Normal</v>
      </c>
      <c r="M735" s="2" t="b">
        <f t="shared" si="35"/>
        <v>0</v>
      </c>
      <c r="N735" t="str">
        <f>VLOOKUP(A735,A734:H1734,8)</f>
        <v>Electronics</v>
      </c>
    </row>
    <row r="736" spans="1:14" x14ac:dyDescent="0.35">
      <c r="A736">
        <v>735</v>
      </c>
      <c r="B736">
        <v>38</v>
      </c>
      <c r="C736" t="s">
        <v>13</v>
      </c>
      <c r="D736">
        <v>115537</v>
      </c>
      <c r="E736">
        <v>10</v>
      </c>
      <c r="F736">
        <v>7</v>
      </c>
      <c r="G736">
        <v>25</v>
      </c>
      <c r="H736" t="s">
        <v>12</v>
      </c>
      <c r="I736">
        <v>632.99</v>
      </c>
      <c r="J736" s="1" t="str">
        <f t="shared" si="33"/>
        <v>valid</v>
      </c>
      <c r="K736" t="e">
        <f t="shared" ca="1" si="34"/>
        <v>#NAME?</v>
      </c>
      <c r="L736" t="str">
        <f>IF(E736&gt;=80,"High Value","Normal")</f>
        <v>Normal</v>
      </c>
      <c r="M736" s="2" t="str">
        <f t="shared" si="35"/>
        <v>YES</v>
      </c>
      <c r="N736" t="str">
        <f>VLOOKUP(A736,A735:H1735,8)</f>
        <v>Clothing</v>
      </c>
    </row>
    <row r="737" spans="1:14" x14ac:dyDescent="0.35">
      <c r="A737">
        <v>736</v>
      </c>
      <c r="B737">
        <v>52</v>
      </c>
      <c r="C737" t="s">
        <v>9</v>
      </c>
      <c r="D737">
        <v>130875</v>
      </c>
      <c r="E737">
        <v>76</v>
      </c>
      <c r="F737">
        <v>10</v>
      </c>
      <c r="G737">
        <v>14</v>
      </c>
      <c r="H737" t="s">
        <v>12</v>
      </c>
      <c r="I737">
        <v>979.39</v>
      </c>
      <c r="J737" s="1" t="str">
        <f t="shared" si="33"/>
        <v>valid</v>
      </c>
      <c r="K737" t="e">
        <f t="shared" ca="1" si="34"/>
        <v>#NAME?</v>
      </c>
      <c r="L737" t="str">
        <f>IF(E737&gt;=80,"High Value","Normal")</f>
        <v>Normal</v>
      </c>
      <c r="M737" s="2" t="b">
        <f t="shared" si="35"/>
        <v>0</v>
      </c>
      <c r="N737" t="str">
        <f>VLOOKUP(A737,A736:H1736,8)</f>
        <v>Clothing</v>
      </c>
    </row>
    <row r="738" spans="1:14" x14ac:dyDescent="0.35">
      <c r="A738">
        <v>737</v>
      </c>
      <c r="B738">
        <v>28</v>
      </c>
      <c r="C738" t="s">
        <v>16</v>
      </c>
      <c r="D738">
        <v>104971</v>
      </c>
      <c r="E738">
        <v>74</v>
      </c>
      <c r="F738">
        <v>4</v>
      </c>
      <c r="G738">
        <v>10</v>
      </c>
      <c r="H738" t="s">
        <v>12</v>
      </c>
      <c r="I738">
        <v>297.17</v>
      </c>
      <c r="J738" s="1" t="str">
        <f t="shared" si="33"/>
        <v>valid</v>
      </c>
      <c r="K738" t="e">
        <f t="shared" ca="1" si="34"/>
        <v>#NAME?</v>
      </c>
      <c r="L738" t="str">
        <f>IF(E738&gt;=80,"High Value","Normal")</f>
        <v>Normal</v>
      </c>
      <c r="M738" s="2" t="b">
        <f t="shared" si="35"/>
        <v>0</v>
      </c>
      <c r="N738" t="str">
        <f>VLOOKUP(A738,A737:H1737,8)</f>
        <v>Clothing</v>
      </c>
    </row>
    <row r="739" spans="1:14" x14ac:dyDescent="0.35">
      <c r="A739">
        <v>738</v>
      </c>
      <c r="B739">
        <v>18</v>
      </c>
      <c r="C739" t="s">
        <v>9</v>
      </c>
      <c r="D739">
        <v>136320</v>
      </c>
      <c r="E739">
        <v>52</v>
      </c>
      <c r="F739">
        <v>5</v>
      </c>
      <c r="G739">
        <v>42</v>
      </c>
      <c r="H739" t="s">
        <v>15</v>
      </c>
      <c r="I739">
        <v>891.19</v>
      </c>
      <c r="J739" s="1" t="str">
        <f t="shared" si="33"/>
        <v>valid</v>
      </c>
      <c r="K739" t="e">
        <f t="shared" ca="1" si="34"/>
        <v>#NAME?</v>
      </c>
      <c r="L739" t="str">
        <f>IF(E739&gt;=80,"High Value","Normal")</f>
        <v>Normal</v>
      </c>
      <c r="M739" s="2" t="b">
        <f t="shared" si="35"/>
        <v>0</v>
      </c>
      <c r="N739" t="str">
        <f>VLOOKUP(A739,A738:H1738,8)</f>
        <v>Electronics</v>
      </c>
    </row>
    <row r="740" spans="1:14" x14ac:dyDescent="0.35">
      <c r="A740">
        <v>739</v>
      </c>
      <c r="B740">
        <v>61</v>
      </c>
      <c r="C740" t="s">
        <v>16</v>
      </c>
      <c r="D740">
        <v>113380</v>
      </c>
      <c r="E740">
        <v>27</v>
      </c>
      <c r="F740">
        <v>2</v>
      </c>
      <c r="G740">
        <v>17</v>
      </c>
      <c r="H740" t="s">
        <v>15</v>
      </c>
      <c r="I740">
        <v>177.5</v>
      </c>
      <c r="J740" s="1" t="str">
        <f t="shared" si="33"/>
        <v>valid</v>
      </c>
      <c r="K740" t="e">
        <f t="shared" ca="1" si="34"/>
        <v>#NAME?</v>
      </c>
      <c r="L740" t="str">
        <f>IF(E740&gt;=80,"High Value","Normal")</f>
        <v>Normal</v>
      </c>
      <c r="M740" s="2" t="b">
        <f t="shared" si="35"/>
        <v>0</v>
      </c>
      <c r="N740" t="str">
        <f>VLOOKUP(A740,A739:H1739,8)</f>
        <v>Electronics</v>
      </c>
    </row>
    <row r="741" spans="1:14" x14ac:dyDescent="0.35">
      <c r="A741">
        <v>740</v>
      </c>
      <c r="B741">
        <v>62</v>
      </c>
      <c r="C741" t="s">
        <v>9</v>
      </c>
      <c r="D741">
        <v>119083</v>
      </c>
      <c r="E741">
        <v>18</v>
      </c>
      <c r="F741">
        <v>4</v>
      </c>
      <c r="G741">
        <v>28</v>
      </c>
      <c r="H741" t="s">
        <v>15</v>
      </c>
      <c r="I741">
        <v>317.77999999999997</v>
      </c>
      <c r="J741" s="1" t="str">
        <f t="shared" si="33"/>
        <v>valid</v>
      </c>
      <c r="K741" t="e">
        <f t="shared" ca="1" si="34"/>
        <v>#NAME?</v>
      </c>
      <c r="L741" t="str">
        <f>IF(E741&gt;=80,"High Value","Normal")</f>
        <v>Normal</v>
      </c>
      <c r="M741" s="2" t="str">
        <f t="shared" si="35"/>
        <v>YES</v>
      </c>
      <c r="N741" t="str">
        <f>VLOOKUP(A741,A740:H1740,8)</f>
        <v>Electronics</v>
      </c>
    </row>
    <row r="742" spans="1:14" x14ac:dyDescent="0.35">
      <c r="A742">
        <v>741</v>
      </c>
      <c r="B742">
        <v>50</v>
      </c>
      <c r="C742" t="s">
        <v>9</v>
      </c>
      <c r="D742">
        <v>50944</v>
      </c>
      <c r="E742">
        <v>24</v>
      </c>
      <c r="F742">
        <v>3</v>
      </c>
      <c r="G742">
        <v>36</v>
      </c>
      <c r="H742" t="s">
        <v>15</v>
      </c>
      <c r="I742">
        <v>121.22</v>
      </c>
      <c r="J742" s="1" t="str">
        <f t="shared" si="33"/>
        <v>valid</v>
      </c>
      <c r="K742" t="e">
        <f t="shared" ca="1" si="34"/>
        <v>#NAME?</v>
      </c>
      <c r="L742" t="str">
        <f>IF(E742&gt;=80,"High Value","Normal")</f>
        <v>Normal</v>
      </c>
      <c r="M742" s="2" t="str">
        <f t="shared" si="35"/>
        <v>YES</v>
      </c>
      <c r="N742" t="str">
        <f>VLOOKUP(A742,A741:H1741,8)</f>
        <v>Electronics</v>
      </c>
    </row>
    <row r="743" spans="1:14" x14ac:dyDescent="0.35">
      <c r="A743">
        <v>742</v>
      </c>
      <c r="B743">
        <v>45</v>
      </c>
      <c r="C743" t="s">
        <v>13</v>
      </c>
      <c r="D743">
        <v>30738</v>
      </c>
      <c r="E743">
        <v>38</v>
      </c>
      <c r="F743">
        <v>7</v>
      </c>
      <c r="G743">
        <v>5</v>
      </c>
      <c r="H743" t="s">
        <v>14</v>
      </c>
      <c r="I743">
        <v>144</v>
      </c>
      <c r="J743" s="1" t="str">
        <f t="shared" si="33"/>
        <v>valid</v>
      </c>
      <c r="K743" t="e">
        <f t="shared" ca="1" si="34"/>
        <v>#NAME?</v>
      </c>
      <c r="L743" t="str">
        <f>IF(E743&gt;=80,"High Value","Normal")</f>
        <v>Normal</v>
      </c>
      <c r="M743" s="2" t="b">
        <f t="shared" si="35"/>
        <v>0</v>
      </c>
      <c r="N743" t="str">
        <f>VLOOKUP(A743,A742:H1742,8)</f>
        <v>Home &amp; Garden</v>
      </c>
    </row>
    <row r="744" spans="1:14" x14ac:dyDescent="0.35">
      <c r="A744">
        <v>743</v>
      </c>
      <c r="B744">
        <v>64</v>
      </c>
      <c r="C744" t="s">
        <v>16</v>
      </c>
      <c r="D744">
        <v>132277</v>
      </c>
      <c r="E744">
        <v>81</v>
      </c>
      <c r="F744">
        <v>5</v>
      </c>
      <c r="G744">
        <v>30</v>
      </c>
      <c r="H744" t="s">
        <v>11</v>
      </c>
      <c r="I744">
        <v>505.24</v>
      </c>
      <c r="J744" s="1" t="str">
        <f t="shared" si="33"/>
        <v>valid</v>
      </c>
      <c r="K744" t="e">
        <f t="shared" ca="1" si="34"/>
        <v>#NAME?</v>
      </c>
      <c r="L744" t="str">
        <f>IF(E744&gt;=80,"High Value","Normal")</f>
        <v>High Value</v>
      </c>
      <c r="M744" s="2" t="str">
        <f t="shared" si="35"/>
        <v>YES</v>
      </c>
      <c r="N744" t="str">
        <f>VLOOKUP(A744,A743:H1743,8)</f>
        <v>Sports</v>
      </c>
    </row>
    <row r="745" spans="1:14" x14ac:dyDescent="0.35">
      <c r="A745">
        <v>744</v>
      </c>
      <c r="B745">
        <v>56</v>
      </c>
      <c r="C745" t="s">
        <v>16</v>
      </c>
      <c r="D745">
        <v>90816</v>
      </c>
      <c r="E745">
        <v>20</v>
      </c>
      <c r="F745">
        <v>10</v>
      </c>
      <c r="G745">
        <v>35</v>
      </c>
      <c r="H745" t="s">
        <v>15</v>
      </c>
      <c r="I745">
        <v>808.16</v>
      </c>
      <c r="J745" s="1" t="str">
        <f t="shared" si="33"/>
        <v>valid</v>
      </c>
      <c r="K745" t="e">
        <f t="shared" ca="1" si="34"/>
        <v>#NAME?</v>
      </c>
      <c r="L745" t="str">
        <f>IF(E745&gt;=80,"High Value","Normal")</f>
        <v>Normal</v>
      </c>
      <c r="M745" s="2" t="str">
        <f t="shared" si="35"/>
        <v>YES</v>
      </c>
      <c r="N745" t="str">
        <f>VLOOKUP(A745,A744:H1744,8)</f>
        <v>Electronics</v>
      </c>
    </row>
    <row r="746" spans="1:14" x14ac:dyDescent="0.35">
      <c r="A746">
        <v>745</v>
      </c>
      <c r="B746">
        <v>30</v>
      </c>
      <c r="C746" t="s">
        <v>9</v>
      </c>
      <c r="D746">
        <v>64288</v>
      </c>
      <c r="E746">
        <v>93</v>
      </c>
      <c r="F746">
        <v>9</v>
      </c>
      <c r="G746">
        <v>43</v>
      </c>
      <c r="H746" t="s">
        <v>10</v>
      </c>
      <c r="I746">
        <v>825.85</v>
      </c>
      <c r="J746" s="1" t="str">
        <f t="shared" si="33"/>
        <v>valid</v>
      </c>
      <c r="K746" t="e">
        <f t="shared" ca="1" si="34"/>
        <v>#NAME?</v>
      </c>
      <c r="L746" t="str">
        <f>IF(E746&gt;=80,"High Value","Normal")</f>
        <v>High Value</v>
      </c>
      <c r="M746" s="2" t="b">
        <f t="shared" si="35"/>
        <v>0</v>
      </c>
      <c r="N746" t="str">
        <f>VLOOKUP(A746,A745:H1745,8)</f>
        <v>Groceries</v>
      </c>
    </row>
    <row r="747" spans="1:14" x14ac:dyDescent="0.35">
      <c r="A747">
        <v>746</v>
      </c>
      <c r="B747">
        <v>60</v>
      </c>
      <c r="C747" t="s">
        <v>16</v>
      </c>
      <c r="D747">
        <v>34657</v>
      </c>
      <c r="E747">
        <v>99</v>
      </c>
      <c r="F747">
        <v>10</v>
      </c>
      <c r="G747">
        <v>3</v>
      </c>
      <c r="H747" t="s">
        <v>15</v>
      </c>
      <c r="I747">
        <v>983.3</v>
      </c>
      <c r="J747" s="1" t="str">
        <f t="shared" si="33"/>
        <v>valid</v>
      </c>
      <c r="K747" t="e">
        <f t="shared" ca="1" si="34"/>
        <v>#NAME?</v>
      </c>
      <c r="L747" t="str">
        <f>IF(E747&gt;=80,"High Value","Normal")</f>
        <v>High Value</v>
      </c>
      <c r="M747" s="2" t="b">
        <f t="shared" si="35"/>
        <v>0</v>
      </c>
      <c r="N747" t="str">
        <f>VLOOKUP(A747,A746:H1746,8)</f>
        <v>Electronics</v>
      </c>
    </row>
    <row r="748" spans="1:14" x14ac:dyDescent="0.35">
      <c r="A748">
        <v>747</v>
      </c>
      <c r="B748">
        <v>26</v>
      </c>
      <c r="C748" t="s">
        <v>16</v>
      </c>
      <c r="D748">
        <v>44725</v>
      </c>
      <c r="E748">
        <v>40</v>
      </c>
      <c r="F748">
        <v>10</v>
      </c>
      <c r="G748">
        <v>17</v>
      </c>
      <c r="H748" t="s">
        <v>10</v>
      </c>
      <c r="I748">
        <v>307.42</v>
      </c>
      <c r="J748" s="1" t="str">
        <f t="shared" si="33"/>
        <v>valid</v>
      </c>
      <c r="K748" t="e">
        <f t="shared" ca="1" si="34"/>
        <v>#NAME?</v>
      </c>
      <c r="L748" t="str">
        <f>IF(E748&gt;=80,"High Value","Normal")</f>
        <v>Normal</v>
      </c>
      <c r="M748" s="2" t="b">
        <f t="shared" si="35"/>
        <v>0</v>
      </c>
      <c r="N748" t="str">
        <f>VLOOKUP(A748,A747:H1747,8)</f>
        <v>Groceries</v>
      </c>
    </row>
    <row r="749" spans="1:14" x14ac:dyDescent="0.35">
      <c r="A749">
        <v>748</v>
      </c>
      <c r="B749">
        <v>57</v>
      </c>
      <c r="C749" t="s">
        <v>9</v>
      </c>
      <c r="D749">
        <v>58696</v>
      </c>
      <c r="E749">
        <v>69</v>
      </c>
      <c r="F749">
        <v>4</v>
      </c>
      <c r="G749">
        <v>29</v>
      </c>
      <c r="H749" t="s">
        <v>10</v>
      </c>
      <c r="I749">
        <v>570.87</v>
      </c>
      <c r="J749" s="1" t="str">
        <f t="shared" si="33"/>
        <v>valid</v>
      </c>
      <c r="K749" t="e">
        <f t="shared" ca="1" si="34"/>
        <v>#NAME?</v>
      </c>
      <c r="L749" t="str">
        <f>IF(E749&gt;=80,"High Value","Normal")</f>
        <v>Normal</v>
      </c>
      <c r="M749" s="2" t="str">
        <f t="shared" si="35"/>
        <v>YES</v>
      </c>
      <c r="N749" t="str">
        <f>VLOOKUP(A749,A748:H1748,8)</f>
        <v>Groceries</v>
      </c>
    </row>
    <row r="750" spans="1:14" x14ac:dyDescent="0.35">
      <c r="A750">
        <v>749</v>
      </c>
      <c r="B750">
        <v>22</v>
      </c>
      <c r="C750" t="s">
        <v>16</v>
      </c>
      <c r="D750">
        <v>73023</v>
      </c>
      <c r="E750">
        <v>30</v>
      </c>
      <c r="F750">
        <v>1</v>
      </c>
      <c r="G750">
        <v>19</v>
      </c>
      <c r="H750" t="s">
        <v>14</v>
      </c>
      <c r="I750">
        <v>661.7</v>
      </c>
      <c r="J750" s="1" t="str">
        <f t="shared" si="33"/>
        <v>valid</v>
      </c>
      <c r="K750" t="e">
        <f t="shared" ca="1" si="34"/>
        <v>#NAME?</v>
      </c>
      <c r="L750" t="str">
        <f>IF(E750&gt;=80,"High Value","Normal")</f>
        <v>Normal</v>
      </c>
      <c r="M750" s="2" t="b">
        <f t="shared" si="35"/>
        <v>0</v>
      </c>
      <c r="N750" t="str">
        <f>VLOOKUP(A750,A749:H1749,8)</f>
        <v>Home &amp; Garden</v>
      </c>
    </row>
    <row r="751" spans="1:14" x14ac:dyDescent="0.35">
      <c r="A751">
        <v>750</v>
      </c>
      <c r="B751">
        <v>41</v>
      </c>
      <c r="C751" t="s">
        <v>13</v>
      </c>
      <c r="D751">
        <v>74985</v>
      </c>
      <c r="E751">
        <v>68</v>
      </c>
      <c r="F751">
        <v>8</v>
      </c>
      <c r="G751">
        <v>21</v>
      </c>
      <c r="H751" t="s">
        <v>15</v>
      </c>
      <c r="I751">
        <v>123.96</v>
      </c>
      <c r="J751" s="1" t="str">
        <f t="shared" si="33"/>
        <v>valid</v>
      </c>
      <c r="K751" t="e">
        <f t="shared" ca="1" si="34"/>
        <v>#NAME?</v>
      </c>
      <c r="L751" t="str">
        <f>IF(E751&gt;=80,"High Value","Normal")</f>
        <v>Normal</v>
      </c>
      <c r="M751" s="2" t="str">
        <f t="shared" si="35"/>
        <v>YES</v>
      </c>
      <c r="N751" t="str">
        <f>VLOOKUP(A751,A750:H1750,8)</f>
        <v>Electronics</v>
      </c>
    </row>
    <row r="752" spans="1:14" x14ac:dyDescent="0.35">
      <c r="A752">
        <v>751</v>
      </c>
      <c r="B752">
        <v>63</v>
      </c>
      <c r="C752" t="s">
        <v>16</v>
      </c>
      <c r="D752">
        <v>37201</v>
      </c>
      <c r="E752">
        <v>60</v>
      </c>
      <c r="F752">
        <v>6</v>
      </c>
      <c r="G752">
        <v>46</v>
      </c>
      <c r="H752" t="s">
        <v>10</v>
      </c>
      <c r="I752">
        <v>90.96</v>
      </c>
      <c r="J752" s="1" t="str">
        <f t="shared" si="33"/>
        <v>valid</v>
      </c>
      <c r="K752" t="e">
        <f t="shared" ca="1" si="34"/>
        <v>#NAME?</v>
      </c>
      <c r="L752" t="str">
        <f>IF(E752&gt;=80,"High Value","Normal")</f>
        <v>Normal</v>
      </c>
      <c r="M752" s="2" t="str">
        <f t="shared" si="35"/>
        <v>YES</v>
      </c>
      <c r="N752" t="str">
        <f>VLOOKUP(A752,A751:H1751,8)</f>
        <v>Groceries</v>
      </c>
    </row>
    <row r="753" spans="1:14" x14ac:dyDescent="0.35">
      <c r="A753">
        <v>752</v>
      </c>
      <c r="B753">
        <v>31</v>
      </c>
      <c r="C753" t="s">
        <v>16</v>
      </c>
      <c r="D753">
        <v>85928</v>
      </c>
      <c r="E753">
        <v>10</v>
      </c>
      <c r="F753">
        <v>2</v>
      </c>
      <c r="G753">
        <v>40</v>
      </c>
      <c r="H753" t="s">
        <v>14</v>
      </c>
      <c r="I753">
        <v>34.1</v>
      </c>
      <c r="J753" s="1" t="str">
        <f t="shared" si="33"/>
        <v>valid</v>
      </c>
      <c r="K753" t="e">
        <f t="shared" ca="1" si="34"/>
        <v>#NAME?</v>
      </c>
      <c r="L753" t="str">
        <f>IF(E753&gt;=80,"High Value","Normal")</f>
        <v>Normal</v>
      </c>
      <c r="M753" s="2" t="str">
        <f t="shared" si="35"/>
        <v>YES</v>
      </c>
      <c r="N753" t="str">
        <f>VLOOKUP(A753,A752:H1752,8)</f>
        <v>Home &amp; Garden</v>
      </c>
    </row>
    <row r="754" spans="1:14" x14ac:dyDescent="0.35">
      <c r="A754">
        <v>753</v>
      </c>
      <c r="B754">
        <v>28</v>
      </c>
      <c r="C754" t="s">
        <v>13</v>
      </c>
      <c r="D754">
        <v>129367</v>
      </c>
      <c r="E754">
        <v>4</v>
      </c>
      <c r="F754">
        <v>1</v>
      </c>
      <c r="G754">
        <v>44</v>
      </c>
      <c r="H754" t="s">
        <v>15</v>
      </c>
      <c r="I754">
        <v>559.61</v>
      </c>
      <c r="J754" s="1" t="str">
        <f t="shared" si="33"/>
        <v>valid</v>
      </c>
      <c r="K754" t="e">
        <f t="shared" ca="1" si="34"/>
        <v>#NAME?</v>
      </c>
      <c r="L754" t="str">
        <f>IF(E754&gt;=80,"High Value","Normal")</f>
        <v>Normal</v>
      </c>
      <c r="M754" s="2" t="b">
        <f t="shared" si="35"/>
        <v>0</v>
      </c>
      <c r="N754" t="str">
        <f>VLOOKUP(A754,A753:H1753,8)</f>
        <v>Electronics</v>
      </c>
    </row>
    <row r="755" spans="1:14" x14ac:dyDescent="0.35">
      <c r="A755">
        <v>754</v>
      </c>
      <c r="B755">
        <v>52</v>
      </c>
      <c r="C755" t="s">
        <v>16</v>
      </c>
      <c r="D755">
        <v>49342</v>
      </c>
      <c r="E755">
        <v>77</v>
      </c>
      <c r="F755">
        <v>7</v>
      </c>
      <c r="G755">
        <v>29</v>
      </c>
      <c r="H755" t="s">
        <v>10</v>
      </c>
      <c r="I755">
        <v>622.86</v>
      </c>
      <c r="J755" s="1" t="str">
        <f t="shared" si="33"/>
        <v>valid</v>
      </c>
      <c r="K755" t="e">
        <f t="shared" ca="1" si="34"/>
        <v>#NAME?</v>
      </c>
      <c r="L755" t="str">
        <f>IF(E755&gt;=80,"High Value","Normal")</f>
        <v>Normal</v>
      </c>
      <c r="M755" s="2" t="str">
        <f t="shared" si="35"/>
        <v>YES</v>
      </c>
      <c r="N755" t="str">
        <f>VLOOKUP(A755,A754:H1754,8)</f>
        <v>Groceries</v>
      </c>
    </row>
    <row r="756" spans="1:14" x14ac:dyDescent="0.35">
      <c r="A756">
        <v>755</v>
      </c>
      <c r="B756">
        <v>61</v>
      </c>
      <c r="C756" t="s">
        <v>16</v>
      </c>
      <c r="D756">
        <v>59583</v>
      </c>
      <c r="E756">
        <v>11</v>
      </c>
      <c r="F756">
        <v>8</v>
      </c>
      <c r="G756">
        <v>27</v>
      </c>
      <c r="H756" t="s">
        <v>12</v>
      </c>
      <c r="I756">
        <v>744.56</v>
      </c>
      <c r="J756" s="1" t="str">
        <f t="shared" si="33"/>
        <v>valid</v>
      </c>
      <c r="K756" t="e">
        <f t="shared" ca="1" si="34"/>
        <v>#NAME?</v>
      </c>
      <c r="L756" t="str">
        <f>IF(E756&gt;=80,"High Value","Normal")</f>
        <v>Normal</v>
      </c>
      <c r="M756" s="2" t="str">
        <f t="shared" si="35"/>
        <v>YES</v>
      </c>
      <c r="N756" t="str">
        <f>VLOOKUP(A756,A755:H1755,8)</f>
        <v>Clothing</v>
      </c>
    </row>
    <row r="757" spans="1:14" x14ac:dyDescent="0.35">
      <c r="A757">
        <v>756</v>
      </c>
      <c r="B757">
        <v>30</v>
      </c>
      <c r="C757" t="s">
        <v>9</v>
      </c>
      <c r="D757">
        <v>111050</v>
      </c>
      <c r="E757">
        <v>61</v>
      </c>
      <c r="F757">
        <v>10</v>
      </c>
      <c r="G757">
        <v>32</v>
      </c>
      <c r="H757" t="s">
        <v>15</v>
      </c>
      <c r="I757">
        <v>213.88</v>
      </c>
      <c r="J757" s="1" t="str">
        <f t="shared" si="33"/>
        <v>valid</v>
      </c>
      <c r="K757" t="e">
        <f t="shared" ca="1" si="34"/>
        <v>#NAME?</v>
      </c>
      <c r="L757" t="str">
        <f>IF(E757&gt;=80,"High Value","Normal")</f>
        <v>Normal</v>
      </c>
      <c r="M757" s="2" t="b">
        <f t="shared" si="35"/>
        <v>0</v>
      </c>
      <c r="N757" t="str">
        <f>VLOOKUP(A757,A756:H1756,8)</f>
        <v>Electronics</v>
      </c>
    </row>
    <row r="758" spans="1:14" x14ac:dyDescent="0.35">
      <c r="A758">
        <v>757</v>
      </c>
      <c r="B758">
        <v>19</v>
      </c>
      <c r="C758" t="s">
        <v>9</v>
      </c>
      <c r="D758">
        <v>129687</v>
      </c>
      <c r="E758">
        <v>78</v>
      </c>
      <c r="F758">
        <v>3</v>
      </c>
      <c r="G758">
        <v>43</v>
      </c>
      <c r="H758" t="s">
        <v>14</v>
      </c>
      <c r="I758">
        <v>679.67</v>
      </c>
      <c r="J758" s="1" t="str">
        <f t="shared" si="33"/>
        <v>valid</v>
      </c>
      <c r="K758" t="e">
        <f t="shared" ca="1" si="34"/>
        <v>#NAME?</v>
      </c>
      <c r="L758" t="str">
        <f>IF(E758&gt;=80,"High Value","Normal")</f>
        <v>Normal</v>
      </c>
      <c r="M758" s="2" t="b">
        <f t="shared" si="35"/>
        <v>0</v>
      </c>
      <c r="N758" t="str">
        <f>VLOOKUP(A758,A757:H1757,8)</f>
        <v>Home &amp; Garden</v>
      </c>
    </row>
    <row r="759" spans="1:14" x14ac:dyDescent="0.35">
      <c r="A759">
        <v>758</v>
      </c>
      <c r="B759">
        <v>35</v>
      </c>
      <c r="C759" t="s">
        <v>16</v>
      </c>
      <c r="D759">
        <v>94896</v>
      </c>
      <c r="E759">
        <v>36</v>
      </c>
      <c r="F759">
        <v>6</v>
      </c>
      <c r="G759">
        <v>4</v>
      </c>
      <c r="H759" t="s">
        <v>14</v>
      </c>
      <c r="I759">
        <v>102.23</v>
      </c>
      <c r="J759" s="1" t="str">
        <f t="shared" si="33"/>
        <v>valid</v>
      </c>
      <c r="K759" t="e">
        <f t="shared" ca="1" si="34"/>
        <v>#NAME?</v>
      </c>
      <c r="L759" t="str">
        <f>IF(E759&gt;=80,"High Value","Normal")</f>
        <v>Normal</v>
      </c>
      <c r="M759" s="2" t="b">
        <f t="shared" si="35"/>
        <v>0</v>
      </c>
      <c r="N759" t="str">
        <f>VLOOKUP(A759,A758:H1758,8)</f>
        <v>Home &amp; Garden</v>
      </c>
    </row>
    <row r="760" spans="1:14" x14ac:dyDescent="0.35">
      <c r="A760">
        <v>759</v>
      </c>
      <c r="B760">
        <v>64</v>
      </c>
      <c r="C760" t="s">
        <v>13</v>
      </c>
      <c r="D760">
        <v>130443</v>
      </c>
      <c r="E760">
        <v>29</v>
      </c>
      <c r="F760">
        <v>1</v>
      </c>
      <c r="G760">
        <v>17</v>
      </c>
      <c r="H760" t="s">
        <v>14</v>
      </c>
      <c r="I760">
        <v>835.67</v>
      </c>
      <c r="J760" s="1" t="str">
        <f t="shared" si="33"/>
        <v>valid</v>
      </c>
      <c r="K760" t="e">
        <f t="shared" ca="1" si="34"/>
        <v>#NAME?</v>
      </c>
      <c r="L760" t="str">
        <f>IF(E760&gt;=80,"High Value","Normal")</f>
        <v>Normal</v>
      </c>
      <c r="M760" s="2" t="b">
        <f t="shared" si="35"/>
        <v>0</v>
      </c>
      <c r="N760" t="str">
        <f>VLOOKUP(A760,A759:H1759,8)</f>
        <v>Home &amp; Garden</v>
      </c>
    </row>
    <row r="761" spans="1:14" x14ac:dyDescent="0.35">
      <c r="A761">
        <v>760</v>
      </c>
      <c r="B761">
        <v>27</v>
      </c>
      <c r="C761" t="s">
        <v>16</v>
      </c>
      <c r="D761">
        <v>80545</v>
      </c>
      <c r="E761">
        <v>63</v>
      </c>
      <c r="F761">
        <v>6</v>
      </c>
      <c r="G761">
        <v>46</v>
      </c>
      <c r="H761" t="s">
        <v>11</v>
      </c>
      <c r="I761">
        <v>575.98</v>
      </c>
      <c r="J761" s="1" t="str">
        <f t="shared" si="33"/>
        <v>valid</v>
      </c>
      <c r="K761" t="e">
        <f t="shared" ca="1" si="34"/>
        <v>#NAME?</v>
      </c>
      <c r="L761" t="str">
        <f>IF(E761&gt;=80,"High Value","Normal")</f>
        <v>Normal</v>
      </c>
      <c r="M761" s="2" t="b">
        <f t="shared" si="35"/>
        <v>0</v>
      </c>
      <c r="N761" t="str">
        <f>VLOOKUP(A761,A760:H1760,8)</f>
        <v>Sports</v>
      </c>
    </row>
    <row r="762" spans="1:14" x14ac:dyDescent="0.35">
      <c r="A762">
        <v>761</v>
      </c>
      <c r="B762">
        <v>47</v>
      </c>
      <c r="C762" t="s">
        <v>16</v>
      </c>
      <c r="D762">
        <v>112510</v>
      </c>
      <c r="E762">
        <v>1</v>
      </c>
      <c r="F762">
        <v>2</v>
      </c>
      <c r="G762">
        <v>10</v>
      </c>
      <c r="H762" t="s">
        <v>14</v>
      </c>
      <c r="I762">
        <v>618.20000000000005</v>
      </c>
      <c r="J762" s="1" t="str">
        <f t="shared" si="33"/>
        <v>valid</v>
      </c>
      <c r="K762" t="e">
        <f t="shared" ca="1" si="34"/>
        <v>#NAME?</v>
      </c>
      <c r="L762" t="str">
        <f>IF(E762&gt;=80,"High Value","Normal")</f>
        <v>Normal</v>
      </c>
      <c r="M762" s="2" t="b">
        <f t="shared" si="35"/>
        <v>0</v>
      </c>
      <c r="N762" t="str">
        <f>VLOOKUP(A762,A761:H1761,8)</f>
        <v>Home &amp; Garden</v>
      </c>
    </row>
    <row r="763" spans="1:14" x14ac:dyDescent="0.35">
      <c r="A763">
        <v>762</v>
      </c>
      <c r="B763">
        <v>57</v>
      </c>
      <c r="C763" t="s">
        <v>16</v>
      </c>
      <c r="D763">
        <v>145190</v>
      </c>
      <c r="E763">
        <v>42</v>
      </c>
      <c r="F763">
        <v>9</v>
      </c>
      <c r="G763">
        <v>8</v>
      </c>
      <c r="H763" t="s">
        <v>11</v>
      </c>
      <c r="I763">
        <v>971.83</v>
      </c>
      <c r="J763" s="1" t="str">
        <f t="shared" si="33"/>
        <v>valid</v>
      </c>
      <c r="K763" t="e">
        <f t="shared" ca="1" si="34"/>
        <v>#NAME?</v>
      </c>
      <c r="L763" t="str">
        <f>IF(E763&gt;=80,"High Value","Normal")</f>
        <v>Normal</v>
      </c>
      <c r="M763" s="2" t="b">
        <f t="shared" si="35"/>
        <v>0</v>
      </c>
      <c r="N763" t="str">
        <f>VLOOKUP(A763,A762:H1762,8)</f>
        <v>Sports</v>
      </c>
    </row>
    <row r="764" spans="1:14" x14ac:dyDescent="0.35">
      <c r="A764">
        <v>763</v>
      </c>
      <c r="B764">
        <v>63</v>
      </c>
      <c r="C764" t="s">
        <v>16</v>
      </c>
      <c r="D764">
        <v>115204</v>
      </c>
      <c r="E764">
        <v>12</v>
      </c>
      <c r="F764">
        <v>2</v>
      </c>
      <c r="G764">
        <v>19</v>
      </c>
      <c r="H764" t="s">
        <v>14</v>
      </c>
      <c r="I764">
        <v>910.59</v>
      </c>
      <c r="J764" s="1" t="str">
        <f t="shared" si="33"/>
        <v>valid</v>
      </c>
      <c r="K764" t="e">
        <f t="shared" ca="1" si="34"/>
        <v>#NAME?</v>
      </c>
      <c r="L764" t="str">
        <f>IF(E764&gt;=80,"High Value","Normal")</f>
        <v>Normal</v>
      </c>
      <c r="M764" s="2" t="b">
        <f t="shared" si="35"/>
        <v>0</v>
      </c>
      <c r="N764" t="str">
        <f>VLOOKUP(A764,A763:H1763,8)</f>
        <v>Home &amp; Garden</v>
      </c>
    </row>
    <row r="765" spans="1:14" x14ac:dyDescent="0.35">
      <c r="A765">
        <v>764</v>
      </c>
      <c r="B765">
        <v>61</v>
      </c>
      <c r="C765" t="s">
        <v>9</v>
      </c>
      <c r="D765">
        <v>116123</v>
      </c>
      <c r="E765">
        <v>96</v>
      </c>
      <c r="F765">
        <v>2</v>
      </c>
      <c r="G765">
        <v>27</v>
      </c>
      <c r="H765" t="s">
        <v>11</v>
      </c>
      <c r="I765">
        <v>844.95</v>
      </c>
      <c r="J765" s="1" t="str">
        <f t="shared" si="33"/>
        <v>valid</v>
      </c>
      <c r="K765" t="e">
        <f t="shared" ca="1" si="34"/>
        <v>#NAME?</v>
      </c>
      <c r="L765" t="str">
        <f>IF(E765&gt;=80,"High Value","Normal")</f>
        <v>High Value</v>
      </c>
      <c r="M765" s="2" t="str">
        <f t="shared" si="35"/>
        <v>YES</v>
      </c>
      <c r="N765" t="str">
        <f>VLOOKUP(A765,A764:H1764,8)</f>
        <v>Sports</v>
      </c>
    </row>
    <row r="766" spans="1:14" x14ac:dyDescent="0.35">
      <c r="A766">
        <v>765</v>
      </c>
      <c r="B766">
        <v>40</v>
      </c>
      <c r="C766" t="s">
        <v>13</v>
      </c>
      <c r="D766">
        <v>108344</v>
      </c>
      <c r="E766">
        <v>87</v>
      </c>
      <c r="F766">
        <v>2</v>
      </c>
      <c r="G766">
        <v>13</v>
      </c>
      <c r="H766" t="s">
        <v>15</v>
      </c>
      <c r="I766">
        <v>892.28</v>
      </c>
      <c r="J766" s="1" t="str">
        <f t="shared" si="33"/>
        <v>valid</v>
      </c>
      <c r="K766" t="e">
        <f t="shared" ca="1" si="34"/>
        <v>#NAME?</v>
      </c>
      <c r="L766" t="str">
        <f>IF(E766&gt;=80,"High Value","Normal")</f>
        <v>High Value</v>
      </c>
      <c r="M766" s="2" t="b">
        <f t="shared" si="35"/>
        <v>0</v>
      </c>
      <c r="N766" t="str">
        <f>VLOOKUP(A766,A765:H1765,8)</f>
        <v>Electronics</v>
      </c>
    </row>
    <row r="767" spans="1:14" x14ac:dyDescent="0.35">
      <c r="A767">
        <v>766</v>
      </c>
      <c r="B767">
        <v>41</v>
      </c>
      <c r="C767" t="s">
        <v>13</v>
      </c>
      <c r="D767">
        <v>74198</v>
      </c>
      <c r="E767">
        <v>84</v>
      </c>
      <c r="F767">
        <v>1</v>
      </c>
      <c r="G767">
        <v>50</v>
      </c>
      <c r="H767" t="s">
        <v>12</v>
      </c>
      <c r="I767">
        <v>60.51</v>
      </c>
      <c r="J767" s="1" t="str">
        <f t="shared" si="33"/>
        <v>valid</v>
      </c>
      <c r="K767" t="e">
        <f t="shared" ca="1" si="34"/>
        <v>#NAME?</v>
      </c>
      <c r="L767" t="str">
        <f>IF(E767&gt;=80,"High Value","Normal")</f>
        <v>High Value</v>
      </c>
      <c r="M767" s="2" t="str">
        <f t="shared" si="35"/>
        <v>YES</v>
      </c>
      <c r="N767" t="str">
        <f>VLOOKUP(A767,A766:H1766,8)</f>
        <v>Clothing</v>
      </c>
    </row>
    <row r="768" spans="1:14" x14ac:dyDescent="0.35">
      <c r="A768">
        <v>767</v>
      </c>
      <c r="B768">
        <v>45</v>
      </c>
      <c r="C768" t="s">
        <v>13</v>
      </c>
      <c r="D768">
        <v>62582</v>
      </c>
      <c r="E768">
        <v>1</v>
      </c>
      <c r="F768">
        <v>6</v>
      </c>
      <c r="G768">
        <v>46</v>
      </c>
      <c r="H768" t="s">
        <v>12</v>
      </c>
      <c r="I768">
        <v>298.11</v>
      </c>
      <c r="J768" s="1" t="str">
        <f t="shared" si="33"/>
        <v>valid</v>
      </c>
      <c r="K768" t="e">
        <f t="shared" ca="1" si="34"/>
        <v>#NAME?</v>
      </c>
      <c r="L768" t="str">
        <f>IF(E768&gt;=80,"High Value","Normal")</f>
        <v>Normal</v>
      </c>
      <c r="M768" s="2" t="str">
        <f t="shared" si="35"/>
        <v>YES</v>
      </c>
      <c r="N768" t="str">
        <f>VLOOKUP(A768,A767:H1767,8)</f>
        <v>Clothing</v>
      </c>
    </row>
    <row r="769" spans="1:14" x14ac:dyDescent="0.35">
      <c r="A769">
        <v>768</v>
      </c>
      <c r="B769">
        <v>33</v>
      </c>
      <c r="C769" t="s">
        <v>13</v>
      </c>
      <c r="D769">
        <v>92798</v>
      </c>
      <c r="E769">
        <v>80</v>
      </c>
      <c r="F769">
        <v>3</v>
      </c>
      <c r="G769">
        <v>44</v>
      </c>
      <c r="H769" t="s">
        <v>10</v>
      </c>
      <c r="I769">
        <v>367.85</v>
      </c>
      <c r="J769" s="1" t="str">
        <f t="shared" si="33"/>
        <v>valid</v>
      </c>
      <c r="K769" t="e">
        <f t="shared" ca="1" si="34"/>
        <v>#NAME?</v>
      </c>
      <c r="L769" t="str">
        <f>IF(E769&gt;=80,"High Value","Normal")</f>
        <v>High Value</v>
      </c>
      <c r="M769" s="2" t="str">
        <f t="shared" si="35"/>
        <v>YES</v>
      </c>
      <c r="N769" t="str">
        <f>VLOOKUP(A769,A768:H1768,8)</f>
        <v>Groceries</v>
      </c>
    </row>
    <row r="770" spans="1:14" x14ac:dyDescent="0.35">
      <c r="A770">
        <v>769</v>
      </c>
      <c r="B770">
        <v>19</v>
      </c>
      <c r="C770" t="s">
        <v>16</v>
      </c>
      <c r="D770">
        <v>85583</v>
      </c>
      <c r="E770">
        <v>61</v>
      </c>
      <c r="F770">
        <v>5</v>
      </c>
      <c r="G770">
        <v>43</v>
      </c>
      <c r="H770" t="s">
        <v>11</v>
      </c>
      <c r="I770">
        <v>316.35000000000002</v>
      </c>
      <c r="J770" s="1" t="str">
        <f t="shared" si="33"/>
        <v>valid</v>
      </c>
      <c r="K770" t="e">
        <f t="shared" ca="1" si="34"/>
        <v>#NAME?</v>
      </c>
      <c r="L770" t="str">
        <f>IF(E770&gt;=80,"High Value","Normal")</f>
        <v>Normal</v>
      </c>
      <c r="M770" s="2" t="b">
        <f t="shared" si="35"/>
        <v>0</v>
      </c>
      <c r="N770" t="str">
        <f>VLOOKUP(A770,A769:H1769,8)</f>
        <v>Sports</v>
      </c>
    </row>
    <row r="771" spans="1:14" x14ac:dyDescent="0.35">
      <c r="A771">
        <v>770</v>
      </c>
      <c r="B771">
        <v>61</v>
      </c>
      <c r="C771" t="s">
        <v>16</v>
      </c>
      <c r="D771">
        <v>32692</v>
      </c>
      <c r="E771">
        <v>18</v>
      </c>
      <c r="F771">
        <v>8</v>
      </c>
      <c r="G771">
        <v>28</v>
      </c>
      <c r="H771" t="s">
        <v>10</v>
      </c>
      <c r="I771">
        <v>709.33</v>
      </c>
      <c r="J771" s="1" t="str">
        <f t="shared" ref="J771:J834" si="36">IF(AND(B771&gt;=18, B771&lt;=100), "valid", "invalid")</f>
        <v>valid</v>
      </c>
      <c r="K771" t="e">
        <f t="shared" ref="K771:K834" ca="1" si="37">IFS(OR(C771= "Female",C771="female",C771= "F"), "Female", OR(C771="Male", C771="male",C771= "M"), "Male", TRUE, "Other")</f>
        <v>#NAME?</v>
      </c>
      <c r="L771" t="str">
        <f>IF(E771&gt;=80,"High Value","Normal")</f>
        <v>Normal</v>
      </c>
      <c r="M771" s="2" t="str">
        <f t="shared" ref="M771:M834" si="38">IF(AND(B771&gt;30,G771&gt;20), "YES")</f>
        <v>YES</v>
      </c>
      <c r="N771" t="str">
        <f>VLOOKUP(A771,A770:H1770,8)</f>
        <v>Groceries</v>
      </c>
    </row>
    <row r="772" spans="1:14" x14ac:dyDescent="0.35">
      <c r="A772">
        <v>771</v>
      </c>
      <c r="B772">
        <v>55</v>
      </c>
      <c r="C772" t="s">
        <v>13</v>
      </c>
      <c r="D772">
        <v>53069</v>
      </c>
      <c r="E772">
        <v>3</v>
      </c>
      <c r="F772">
        <v>10</v>
      </c>
      <c r="G772">
        <v>43</v>
      </c>
      <c r="H772" t="s">
        <v>12</v>
      </c>
      <c r="I772">
        <v>777.97</v>
      </c>
      <c r="J772" s="1" t="str">
        <f t="shared" si="36"/>
        <v>valid</v>
      </c>
      <c r="K772" t="e">
        <f t="shared" ca="1" si="37"/>
        <v>#NAME?</v>
      </c>
      <c r="L772" t="str">
        <f>IF(E772&gt;=80,"High Value","Normal")</f>
        <v>Normal</v>
      </c>
      <c r="M772" s="2" t="str">
        <f t="shared" si="38"/>
        <v>YES</v>
      </c>
      <c r="N772" t="str">
        <f>VLOOKUP(A772,A771:H1771,8)</f>
        <v>Clothing</v>
      </c>
    </row>
    <row r="773" spans="1:14" x14ac:dyDescent="0.35">
      <c r="A773">
        <v>772</v>
      </c>
      <c r="B773">
        <v>26</v>
      </c>
      <c r="C773" t="s">
        <v>9</v>
      </c>
      <c r="D773">
        <v>79842</v>
      </c>
      <c r="E773">
        <v>78</v>
      </c>
      <c r="F773">
        <v>9</v>
      </c>
      <c r="G773">
        <v>5</v>
      </c>
      <c r="H773" t="s">
        <v>12</v>
      </c>
      <c r="I773">
        <v>557.41</v>
      </c>
      <c r="J773" s="1" t="str">
        <f t="shared" si="36"/>
        <v>valid</v>
      </c>
      <c r="K773" t="e">
        <f t="shared" ca="1" si="37"/>
        <v>#NAME?</v>
      </c>
      <c r="L773" t="str">
        <f>IF(E773&gt;=80,"High Value","Normal")</f>
        <v>Normal</v>
      </c>
      <c r="M773" s="2" t="b">
        <f t="shared" si="38"/>
        <v>0</v>
      </c>
      <c r="N773" t="str">
        <f>VLOOKUP(A773,A772:H1772,8)</f>
        <v>Clothing</v>
      </c>
    </row>
    <row r="774" spans="1:14" x14ac:dyDescent="0.35">
      <c r="A774">
        <v>773</v>
      </c>
      <c r="B774">
        <v>51</v>
      </c>
      <c r="C774" t="s">
        <v>9</v>
      </c>
      <c r="D774">
        <v>70099</v>
      </c>
      <c r="E774">
        <v>42</v>
      </c>
      <c r="F774">
        <v>7</v>
      </c>
      <c r="G774">
        <v>12</v>
      </c>
      <c r="H774" t="s">
        <v>10</v>
      </c>
      <c r="I774">
        <v>481.56</v>
      </c>
      <c r="J774" s="1" t="str">
        <f t="shared" si="36"/>
        <v>valid</v>
      </c>
      <c r="K774" t="e">
        <f t="shared" ca="1" si="37"/>
        <v>#NAME?</v>
      </c>
      <c r="L774" t="str">
        <f>IF(E774&gt;=80,"High Value","Normal")</f>
        <v>Normal</v>
      </c>
      <c r="M774" s="2" t="b">
        <f t="shared" si="38"/>
        <v>0</v>
      </c>
      <c r="N774" t="str">
        <f>VLOOKUP(A774,A773:H1773,8)</f>
        <v>Groceries</v>
      </c>
    </row>
    <row r="775" spans="1:14" x14ac:dyDescent="0.35">
      <c r="A775">
        <v>774</v>
      </c>
      <c r="B775">
        <v>52</v>
      </c>
      <c r="C775" t="s">
        <v>16</v>
      </c>
      <c r="D775">
        <v>52167</v>
      </c>
      <c r="E775">
        <v>19</v>
      </c>
      <c r="F775">
        <v>5</v>
      </c>
      <c r="G775">
        <v>50</v>
      </c>
      <c r="H775" t="s">
        <v>14</v>
      </c>
      <c r="I775">
        <v>961.55</v>
      </c>
      <c r="J775" s="1" t="str">
        <f t="shared" si="36"/>
        <v>valid</v>
      </c>
      <c r="K775" t="e">
        <f t="shared" ca="1" si="37"/>
        <v>#NAME?</v>
      </c>
      <c r="L775" t="str">
        <f>IF(E775&gt;=80,"High Value","Normal")</f>
        <v>Normal</v>
      </c>
      <c r="M775" s="2" t="str">
        <f t="shared" si="38"/>
        <v>YES</v>
      </c>
      <c r="N775" t="str">
        <f>VLOOKUP(A775,A774:H1774,8)</f>
        <v>Home &amp; Garden</v>
      </c>
    </row>
    <row r="776" spans="1:14" x14ac:dyDescent="0.35">
      <c r="A776">
        <v>775</v>
      </c>
      <c r="B776">
        <v>24</v>
      </c>
      <c r="C776" t="s">
        <v>16</v>
      </c>
      <c r="D776">
        <v>51225</v>
      </c>
      <c r="E776">
        <v>21</v>
      </c>
      <c r="F776">
        <v>6</v>
      </c>
      <c r="G776">
        <v>31</v>
      </c>
      <c r="H776" t="s">
        <v>11</v>
      </c>
      <c r="I776">
        <v>235.64</v>
      </c>
      <c r="J776" s="1" t="str">
        <f t="shared" si="36"/>
        <v>valid</v>
      </c>
      <c r="K776" t="e">
        <f t="shared" ca="1" si="37"/>
        <v>#NAME?</v>
      </c>
      <c r="L776" t="str">
        <f>IF(E776&gt;=80,"High Value","Normal")</f>
        <v>Normal</v>
      </c>
      <c r="M776" s="2" t="b">
        <f t="shared" si="38"/>
        <v>0</v>
      </c>
      <c r="N776" t="str">
        <f>VLOOKUP(A776,A775:H1775,8)</f>
        <v>Sports</v>
      </c>
    </row>
    <row r="777" spans="1:14" x14ac:dyDescent="0.35">
      <c r="A777">
        <v>776</v>
      </c>
      <c r="B777">
        <v>31</v>
      </c>
      <c r="C777" t="s">
        <v>9</v>
      </c>
      <c r="D777">
        <v>123947</v>
      </c>
      <c r="E777">
        <v>25</v>
      </c>
      <c r="F777">
        <v>2</v>
      </c>
      <c r="G777">
        <v>39</v>
      </c>
      <c r="H777" t="s">
        <v>10</v>
      </c>
      <c r="I777">
        <v>355.67</v>
      </c>
      <c r="J777" s="1" t="str">
        <f t="shared" si="36"/>
        <v>valid</v>
      </c>
      <c r="K777" t="e">
        <f t="shared" ca="1" si="37"/>
        <v>#NAME?</v>
      </c>
      <c r="L777" t="str">
        <f>IF(E777&gt;=80,"High Value","Normal")</f>
        <v>Normal</v>
      </c>
      <c r="M777" s="2" t="str">
        <f t="shared" si="38"/>
        <v>YES</v>
      </c>
      <c r="N777" t="str">
        <f>VLOOKUP(A777,A776:H1776,8)</f>
        <v>Groceries</v>
      </c>
    </row>
    <row r="778" spans="1:14" x14ac:dyDescent="0.35">
      <c r="A778">
        <v>777</v>
      </c>
      <c r="B778">
        <v>19</v>
      </c>
      <c r="C778" t="s">
        <v>13</v>
      </c>
      <c r="D778">
        <v>45781</v>
      </c>
      <c r="E778">
        <v>93</v>
      </c>
      <c r="F778">
        <v>6</v>
      </c>
      <c r="G778">
        <v>43</v>
      </c>
      <c r="H778" t="s">
        <v>11</v>
      </c>
      <c r="I778">
        <v>412.99</v>
      </c>
      <c r="J778" s="1" t="str">
        <f t="shared" si="36"/>
        <v>valid</v>
      </c>
      <c r="K778" t="e">
        <f t="shared" ca="1" si="37"/>
        <v>#NAME?</v>
      </c>
      <c r="L778" t="str">
        <f>IF(E778&gt;=80,"High Value","Normal")</f>
        <v>High Value</v>
      </c>
      <c r="M778" s="2" t="b">
        <f t="shared" si="38"/>
        <v>0</v>
      </c>
      <c r="N778" t="str">
        <f>VLOOKUP(A778,A777:H1777,8)</f>
        <v>Sports</v>
      </c>
    </row>
    <row r="779" spans="1:14" x14ac:dyDescent="0.35">
      <c r="A779">
        <v>778</v>
      </c>
      <c r="B779">
        <v>46</v>
      </c>
      <c r="C779" t="s">
        <v>9</v>
      </c>
      <c r="D779">
        <v>78023</v>
      </c>
      <c r="E779">
        <v>83</v>
      </c>
      <c r="F779">
        <v>7</v>
      </c>
      <c r="G779">
        <v>28</v>
      </c>
      <c r="H779" t="s">
        <v>11</v>
      </c>
      <c r="I779">
        <v>270.14999999999998</v>
      </c>
      <c r="J779" s="1" t="str">
        <f t="shared" si="36"/>
        <v>valid</v>
      </c>
      <c r="K779" t="e">
        <f t="shared" ca="1" si="37"/>
        <v>#NAME?</v>
      </c>
      <c r="L779" t="str">
        <f>IF(E779&gt;=80,"High Value","Normal")</f>
        <v>High Value</v>
      </c>
      <c r="M779" s="2" t="str">
        <f t="shared" si="38"/>
        <v>YES</v>
      </c>
      <c r="N779" t="str">
        <f>VLOOKUP(A779,A778:H1778,8)</f>
        <v>Sports</v>
      </c>
    </row>
    <row r="780" spans="1:14" x14ac:dyDescent="0.35">
      <c r="A780">
        <v>779</v>
      </c>
      <c r="B780">
        <v>56</v>
      </c>
      <c r="C780" t="s">
        <v>13</v>
      </c>
      <c r="D780">
        <v>43031</v>
      </c>
      <c r="E780">
        <v>56</v>
      </c>
      <c r="F780">
        <v>2</v>
      </c>
      <c r="G780">
        <v>15</v>
      </c>
      <c r="H780" t="s">
        <v>15</v>
      </c>
      <c r="I780">
        <v>830.79</v>
      </c>
      <c r="J780" s="1" t="str">
        <f t="shared" si="36"/>
        <v>valid</v>
      </c>
      <c r="K780" t="e">
        <f t="shared" ca="1" si="37"/>
        <v>#NAME?</v>
      </c>
      <c r="L780" t="str">
        <f>IF(E780&gt;=80,"High Value","Normal")</f>
        <v>Normal</v>
      </c>
      <c r="M780" s="2" t="b">
        <f t="shared" si="38"/>
        <v>0</v>
      </c>
      <c r="N780" t="str">
        <f>VLOOKUP(A780,A779:H1779,8)</f>
        <v>Electronics</v>
      </c>
    </row>
    <row r="781" spans="1:14" x14ac:dyDescent="0.35">
      <c r="A781">
        <v>780</v>
      </c>
      <c r="B781">
        <v>65</v>
      </c>
      <c r="C781" t="s">
        <v>13</v>
      </c>
      <c r="D781">
        <v>80686</v>
      </c>
      <c r="E781">
        <v>2</v>
      </c>
      <c r="F781">
        <v>8</v>
      </c>
      <c r="G781">
        <v>30</v>
      </c>
      <c r="H781" t="s">
        <v>11</v>
      </c>
      <c r="I781">
        <v>491.8</v>
      </c>
      <c r="J781" s="1" t="str">
        <f t="shared" si="36"/>
        <v>valid</v>
      </c>
      <c r="K781" t="e">
        <f t="shared" ca="1" si="37"/>
        <v>#NAME?</v>
      </c>
      <c r="L781" t="str">
        <f>IF(E781&gt;=80,"High Value","Normal")</f>
        <v>Normal</v>
      </c>
      <c r="M781" s="2" t="str">
        <f t="shared" si="38"/>
        <v>YES</v>
      </c>
      <c r="N781" t="str">
        <f>VLOOKUP(A781,A780:H1780,8)</f>
        <v>Sports</v>
      </c>
    </row>
    <row r="782" spans="1:14" x14ac:dyDescent="0.35">
      <c r="A782">
        <v>781</v>
      </c>
      <c r="B782">
        <v>53</v>
      </c>
      <c r="C782" t="s">
        <v>16</v>
      </c>
      <c r="D782">
        <v>147355</v>
      </c>
      <c r="E782">
        <v>10</v>
      </c>
      <c r="F782">
        <v>2</v>
      </c>
      <c r="G782">
        <v>38</v>
      </c>
      <c r="H782" t="s">
        <v>14</v>
      </c>
      <c r="I782">
        <v>866.3</v>
      </c>
      <c r="J782" s="1" t="str">
        <f t="shared" si="36"/>
        <v>valid</v>
      </c>
      <c r="K782" t="e">
        <f t="shared" ca="1" si="37"/>
        <v>#NAME?</v>
      </c>
      <c r="L782" t="str">
        <f>IF(E782&gt;=80,"High Value","Normal")</f>
        <v>Normal</v>
      </c>
      <c r="M782" s="2" t="str">
        <f t="shared" si="38"/>
        <v>YES</v>
      </c>
      <c r="N782" t="str">
        <f>VLOOKUP(A782,A781:H1781,8)</f>
        <v>Home &amp; Garden</v>
      </c>
    </row>
    <row r="783" spans="1:14" x14ac:dyDescent="0.35">
      <c r="A783">
        <v>782</v>
      </c>
      <c r="B783">
        <v>22</v>
      </c>
      <c r="C783" t="s">
        <v>16</v>
      </c>
      <c r="D783">
        <v>118840</v>
      </c>
      <c r="E783">
        <v>32</v>
      </c>
      <c r="F783">
        <v>9</v>
      </c>
      <c r="G783">
        <v>9</v>
      </c>
      <c r="H783" t="s">
        <v>15</v>
      </c>
      <c r="I783">
        <v>819.14</v>
      </c>
      <c r="J783" s="1" t="str">
        <f t="shared" si="36"/>
        <v>valid</v>
      </c>
      <c r="K783" t="e">
        <f t="shared" ca="1" si="37"/>
        <v>#NAME?</v>
      </c>
      <c r="L783" t="str">
        <f>IF(E783&gt;=80,"High Value","Normal")</f>
        <v>Normal</v>
      </c>
      <c r="M783" s="2" t="b">
        <f t="shared" si="38"/>
        <v>0</v>
      </c>
      <c r="N783" t="str">
        <f>VLOOKUP(A783,A782:H1782,8)</f>
        <v>Electronics</v>
      </c>
    </row>
    <row r="784" spans="1:14" x14ac:dyDescent="0.35">
      <c r="A784">
        <v>783</v>
      </c>
      <c r="B784">
        <v>39</v>
      </c>
      <c r="C784" t="s">
        <v>13</v>
      </c>
      <c r="D784">
        <v>71987</v>
      </c>
      <c r="E784">
        <v>42</v>
      </c>
      <c r="F784">
        <v>5</v>
      </c>
      <c r="G784">
        <v>35</v>
      </c>
      <c r="H784" t="s">
        <v>12</v>
      </c>
      <c r="I784">
        <v>196.61</v>
      </c>
      <c r="J784" s="1" t="str">
        <f t="shared" si="36"/>
        <v>valid</v>
      </c>
      <c r="K784" t="e">
        <f t="shared" ca="1" si="37"/>
        <v>#NAME?</v>
      </c>
      <c r="L784" t="str">
        <f>IF(E784&gt;=80,"High Value","Normal")</f>
        <v>Normal</v>
      </c>
      <c r="M784" s="2" t="str">
        <f t="shared" si="38"/>
        <v>YES</v>
      </c>
      <c r="N784" t="str">
        <f>VLOOKUP(A784,A783:H1783,8)</f>
        <v>Clothing</v>
      </c>
    </row>
    <row r="785" spans="1:14" x14ac:dyDescent="0.35">
      <c r="A785">
        <v>784</v>
      </c>
      <c r="B785">
        <v>47</v>
      </c>
      <c r="C785" t="s">
        <v>13</v>
      </c>
      <c r="D785">
        <v>64229</v>
      </c>
      <c r="E785">
        <v>74</v>
      </c>
      <c r="F785">
        <v>5</v>
      </c>
      <c r="G785">
        <v>22</v>
      </c>
      <c r="H785" t="s">
        <v>10</v>
      </c>
      <c r="I785">
        <v>438.95</v>
      </c>
      <c r="J785" s="1" t="str">
        <f t="shared" si="36"/>
        <v>valid</v>
      </c>
      <c r="K785" t="e">
        <f t="shared" ca="1" si="37"/>
        <v>#NAME?</v>
      </c>
      <c r="L785" t="str">
        <f>IF(E785&gt;=80,"High Value","Normal")</f>
        <v>Normal</v>
      </c>
      <c r="M785" s="2" t="str">
        <f t="shared" si="38"/>
        <v>YES</v>
      </c>
      <c r="N785" t="str">
        <f>VLOOKUP(A785,A784:H1784,8)</f>
        <v>Groceries</v>
      </c>
    </row>
    <row r="786" spans="1:14" x14ac:dyDescent="0.35">
      <c r="A786">
        <v>785</v>
      </c>
      <c r="B786">
        <v>45</v>
      </c>
      <c r="C786" t="s">
        <v>9</v>
      </c>
      <c r="D786">
        <v>88366</v>
      </c>
      <c r="E786">
        <v>22</v>
      </c>
      <c r="F786">
        <v>10</v>
      </c>
      <c r="G786">
        <v>24</v>
      </c>
      <c r="H786" t="s">
        <v>15</v>
      </c>
      <c r="I786">
        <v>253.64</v>
      </c>
      <c r="J786" s="1" t="str">
        <f t="shared" si="36"/>
        <v>valid</v>
      </c>
      <c r="K786" t="e">
        <f t="shared" ca="1" si="37"/>
        <v>#NAME?</v>
      </c>
      <c r="L786" t="str">
        <f>IF(E786&gt;=80,"High Value","Normal")</f>
        <v>Normal</v>
      </c>
      <c r="M786" s="2" t="str">
        <f t="shared" si="38"/>
        <v>YES</v>
      </c>
      <c r="N786" t="str">
        <f>VLOOKUP(A786,A785:H1785,8)</f>
        <v>Electronics</v>
      </c>
    </row>
    <row r="787" spans="1:14" x14ac:dyDescent="0.35">
      <c r="A787">
        <v>786</v>
      </c>
      <c r="B787">
        <v>30</v>
      </c>
      <c r="C787" t="s">
        <v>16</v>
      </c>
      <c r="D787">
        <v>43192</v>
      </c>
      <c r="E787">
        <v>61</v>
      </c>
      <c r="F787">
        <v>1</v>
      </c>
      <c r="G787">
        <v>27</v>
      </c>
      <c r="H787" t="s">
        <v>11</v>
      </c>
      <c r="I787">
        <v>614.39</v>
      </c>
      <c r="J787" s="1" t="str">
        <f t="shared" si="36"/>
        <v>valid</v>
      </c>
      <c r="K787" t="e">
        <f t="shared" ca="1" si="37"/>
        <v>#NAME?</v>
      </c>
      <c r="L787" t="str">
        <f>IF(E787&gt;=80,"High Value","Normal")</f>
        <v>Normal</v>
      </c>
      <c r="M787" s="2" t="b">
        <f t="shared" si="38"/>
        <v>0</v>
      </c>
      <c r="N787" t="str">
        <f>VLOOKUP(A787,A786:H1786,8)</f>
        <v>Sports</v>
      </c>
    </row>
    <row r="788" spans="1:14" x14ac:dyDescent="0.35">
      <c r="A788">
        <v>787</v>
      </c>
      <c r="B788">
        <v>57</v>
      </c>
      <c r="C788" t="s">
        <v>13</v>
      </c>
      <c r="D788">
        <v>56547</v>
      </c>
      <c r="E788">
        <v>65</v>
      </c>
      <c r="F788">
        <v>10</v>
      </c>
      <c r="G788">
        <v>43</v>
      </c>
      <c r="H788" t="s">
        <v>10</v>
      </c>
      <c r="I788">
        <v>686.83</v>
      </c>
      <c r="J788" s="1" t="str">
        <f t="shared" si="36"/>
        <v>valid</v>
      </c>
      <c r="K788" t="e">
        <f t="shared" ca="1" si="37"/>
        <v>#NAME?</v>
      </c>
      <c r="L788" t="str">
        <f>IF(E788&gt;=80,"High Value","Normal")</f>
        <v>Normal</v>
      </c>
      <c r="M788" s="2" t="str">
        <f t="shared" si="38"/>
        <v>YES</v>
      </c>
      <c r="N788" t="str">
        <f>VLOOKUP(A788,A787:H1787,8)</f>
        <v>Groceries</v>
      </c>
    </row>
    <row r="789" spans="1:14" x14ac:dyDescent="0.35">
      <c r="A789">
        <v>788</v>
      </c>
      <c r="B789">
        <v>33</v>
      </c>
      <c r="C789" t="s">
        <v>16</v>
      </c>
      <c r="D789">
        <v>38558</v>
      </c>
      <c r="E789">
        <v>71</v>
      </c>
      <c r="F789">
        <v>8</v>
      </c>
      <c r="G789">
        <v>22</v>
      </c>
      <c r="H789" t="s">
        <v>14</v>
      </c>
      <c r="I789">
        <v>223.73</v>
      </c>
      <c r="J789" s="1" t="str">
        <f t="shared" si="36"/>
        <v>valid</v>
      </c>
      <c r="K789" t="e">
        <f t="shared" ca="1" si="37"/>
        <v>#NAME?</v>
      </c>
      <c r="L789" t="str">
        <f>IF(E789&gt;=80,"High Value","Normal")</f>
        <v>Normal</v>
      </c>
      <c r="M789" s="2" t="str">
        <f t="shared" si="38"/>
        <v>YES</v>
      </c>
      <c r="N789" t="str">
        <f>VLOOKUP(A789,A788:H1788,8)</f>
        <v>Home &amp; Garden</v>
      </c>
    </row>
    <row r="790" spans="1:14" x14ac:dyDescent="0.35">
      <c r="A790">
        <v>789</v>
      </c>
      <c r="B790">
        <v>25</v>
      </c>
      <c r="C790" t="s">
        <v>9</v>
      </c>
      <c r="D790">
        <v>52575</v>
      </c>
      <c r="E790">
        <v>77</v>
      </c>
      <c r="F790">
        <v>5</v>
      </c>
      <c r="G790">
        <v>13</v>
      </c>
      <c r="H790" t="s">
        <v>12</v>
      </c>
      <c r="I790">
        <v>112.22</v>
      </c>
      <c r="J790" s="1" t="str">
        <f t="shared" si="36"/>
        <v>valid</v>
      </c>
      <c r="K790" t="e">
        <f t="shared" ca="1" si="37"/>
        <v>#NAME?</v>
      </c>
      <c r="L790" t="str">
        <f>IF(E790&gt;=80,"High Value","Normal")</f>
        <v>Normal</v>
      </c>
      <c r="M790" s="2" t="b">
        <f t="shared" si="38"/>
        <v>0</v>
      </c>
      <c r="N790" t="str">
        <f>VLOOKUP(A790,A789:H1789,8)</f>
        <v>Clothing</v>
      </c>
    </row>
    <row r="791" spans="1:14" x14ac:dyDescent="0.35">
      <c r="A791">
        <v>790</v>
      </c>
      <c r="B791">
        <v>61</v>
      </c>
      <c r="C791" t="s">
        <v>16</v>
      </c>
      <c r="D791">
        <v>96409</v>
      </c>
      <c r="E791">
        <v>66</v>
      </c>
      <c r="F791">
        <v>1</v>
      </c>
      <c r="G791">
        <v>32</v>
      </c>
      <c r="H791" t="s">
        <v>11</v>
      </c>
      <c r="I791">
        <v>674.93</v>
      </c>
      <c r="J791" s="1" t="str">
        <f t="shared" si="36"/>
        <v>valid</v>
      </c>
      <c r="K791" t="e">
        <f t="shared" ca="1" si="37"/>
        <v>#NAME?</v>
      </c>
      <c r="L791" t="str">
        <f>IF(E791&gt;=80,"High Value","Normal")</f>
        <v>Normal</v>
      </c>
      <c r="M791" s="2" t="str">
        <f t="shared" si="38"/>
        <v>YES</v>
      </c>
      <c r="N791" t="str">
        <f>VLOOKUP(A791,A790:H1790,8)</f>
        <v>Sports</v>
      </c>
    </row>
    <row r="792" spans="1:14" x14ac:dyDescent="0.35">
      <c r="A792">
        <v>791</v>
      </c>
      <c r="B792">
        <v>59</v>
      </c>
      <c r="C792" t="s">
        <v>9</v>
      </c>
      <c r="D792">
        <v>97756</v>
      </c>
      <c r="E792">
        <v>89</v>
      </c>
      <c r="F792">
        <v>6</v>
      </c>
      <c r="G792">
        <v>3</v>
      </c>
      <c r="H792" t="s">
        <v>14</v>
      </c>
      <c r="I792">
        <v>318.74</v>
      </c>
      <c r="J792" s="1" t="str">
        <f t="shared" si="36"/>
        <v>valid</v>
      </c>
      <c r="K792" t="e">
        <f t="shared" ca="1" si="37"/>
        <v>#NAME?</v>
      </c>
      <c r="L792" t="str">
        <f>IF(E792&gt;=80,"High Value","Normal")</f>
        <v>High Value</v>
      </c>
      <c r="M792" s="2" t="b">
        <f t="shared" si="38"/>
        <v>0</v>
      </c>
      <c r="N792" t="str">
        <f>VLOOKUP(A792,A791:H1791,8)</f>
        <v>Home &amp; Garden</v>
      </c>
    </row>
    <row r="793" spans="1:14" x14ac:dyDescent="0.35">
      <c r="A793">
        <v>792</v>
      </c>
      <c r="B793">
        <v>18</v>
      </c>
      <c r="C793" t="s">
        <v>13</v>
      </c>
      <c r="D793">
        <v>140475</v>
      </c>
      <c r="E793">
        <v>38</v>
      </c>
      <c r="F793">
        <v>8</v>
      </c>
      <c r="G793">
        <v>7</v>
      </c>
      <c r="H793" t="s">
        <v>11</v>
      </c>
      <c r="I793">
        <v>442.42</v>
      </c>
      <c r="J793" s="1" t="str">
        <f t="shared" si="36"/>
        <v>valid</v>
      </c>
      <c r="K793" t="e">
        <f t="shared" ca="1" si="37"/>
        <v>#NAME?</v>
      </c>
      <c r="L793" t="str">
        <f>IF(E793&gt;=80,"High Value","Normal")</f>
        <v>Normal</v>
      </c>
      <c r="M793" s="2" t="b">
        <f t="shared" si="38"/>
        <v>0</v>
      </c>
      <c r="N793" t="str">
        <f>VLOOKUP(A793,A792:H1792,8)</f>
        <v>Sports</v>
      </c>
    </row>
    <row r="794" spans="1:14" x14ac:dyDescent="0.35">
      <c r="A794">
        <v>793</v>
      </c>
      <c r="B794">
        <v>63</v>
      </c>
      <c r="C794" t="s">
        <v>9</v>
      </c>
      <c r="D794">
        <v>123481</v>
      </c>
      <c r="E794">
        <v>26</v>
      </c>
      <c r="F794">
        <v>1</v>
      </c>
      <c r="G794">
        <v>26</v>
      </c>
      <c r="H794" t="s">
        <v>14</v>
      </c>
      <c r="I794">
        <v>386.51</v>
      </c>
      <c r="J794" s="1" t="str">
        <f t="shared" si="36"/>
        <v>valid</v>
      </c>
      <c r="K794" t="e">
        <f t="shared" ca="1" si="37"/>
        <v>#NAME?</v>
      </c>
      <c r="L794" t="str">
        <f>IF(E794&gt;=80,"High Value","Normal")</f>
        <v>Normal</v>
      </c>
      <c r="M794" s="2" t="str">
        <f t="shared" si="38"/>
        <v>YES</v>
      </c>
      <c r="N794" t="str">
        <f>VLOOKUP(A794,A793:H1793,8)</f>
        <v>Home &amp; Garden</v>
      </c>
    </row>
    <row r="795" spans="1:14" x14ac:dyDescent="0.35">
      <c r="A795">
        <v>794</v>
      </c>
      <c r="B795">
        <v>50</v>
      </c>
      <c r="C795" t="s">
        <v>16</v>
      </c>
      <c r="D795">
        <v>103921</v>
      </c>
      <c r="E795">
        <v>58</v>
      </c>
      <c r="F795">
        <v>2</v>
      </c>
      <c r="G795">
        <v>3</v>
      </c>
      <c r="H795" t="s">
        <v>15</v>
      </c>
      <c r="I795">
        <v>687.32</v>
      </c>
      <c r="J795" s="1" t="str">
        <f t="shared" si="36"/>
        <v>valid</v>
      </c>
      <c r="K795" t="e">
        <f t="shared" ca="1" si="37"/>
        <v>#NAME?</v>
      </c>
      <c r="L795" t="str">
        <f>IF(E795&gt;=80,"High Value","Normal")</f>
        <v>Normal</v>
      </c>
      <c r="M795" s="2" t="b">
        <f t="shared" si="38"/>
        <v>0</v>
      </c>
      <c r="N795" t="str">
        <f>VLOOKUP(A795,A794:H1794,8)</f>
        <v>Electronics</v>
      </c>
    </row>
    <row r="796" spans="1:14" x14ac:dyDescent="0.35">
      <c r="A796">
        <v>795</v>
      </c>
      <c r="B796">
        <v>33</v>
      </c>
      <c r="C796" t="s">
        <v>9</v>
      </c>
      <c r="D796">
        <v>45432</v>
      </c>
      <c r="E796">
        <v>11</v>
      </c>
      <c r="F796">
        <v>4</v>
      </c>
      <c r="G796">
        <v>42</v>
      </c>
      <c r="H796" t="s">
        <v>15</v>
      </c>
      <c r="I796">
        <v>990.34</v>
      </c>
      <c r="J796" s="1" t="str">
        <f t="shared" si="36"/>
        <v>valid</v>
      </c>
      <c r="K796" t="e">
        <f t="shared" ca="1" si="37"/>
        <v>#NAME?</v>
      </c>
      <c r="L796" t="str">
        <f>IF(E796&gt;=80,"High Value","Normal")</f>
        <v>Normal</v>
      </c>
      <c r="M796" s="2" t="str">
        <f t="shared" si="38"/>
        <v>YES</v>
      </c>
      <c r="N796" t="str">
        <f>VLOOKUP(A796,A795:H1795,8)</f>
        <v>Electronics</v>
      </c>
    </row>
    <row r="797" spans="1:14" x14ac:dyDescent="0.35">
      <c r="A797">
        <v>796</v>
      </c>
      <c r="B797">
        <v>47</v>
      </c>
      <c r="C797" t="s">
        <v>16</v>
      </c>
      <c r="D797">
        <v>92114</v>
      </c>
      <c r="E797">
        <v>17</v>
      </c>
      <c r="F797">
        <v>7</v>
      </c>
      <c r="G797">
        <v>8</v>
      </c>
      <c r="H797" t="s">
        <v>14</v>
      </c>
      <c r="I797">
        <v>997.15</v>
      </c>
      <c r="J797" s="1" t="str">
        <f t="shared" si="36"/>
        <v>valid</v>
      </c>
      <c r="K797" t="e">
        <f t="shared" ca="1" si="37"/>
        <v>#NAME?</v>
      </c>
      <c r="L797" t="str">
        <f>IF(E797&gt;=80,"High Value","Normal")</f>
        <v>Normal</v>
      </c>
      <c r="M797" s="2" t="b">
        <f t="shared" si="38"/>
        <v>0</v>
      </c>
      <c r="N797" t="str">
        <f>VLOOKUP(A797,A796:H1796,8)</f>
        <v>Home &amp; Garden</v>
      </c>
    </row>
    <row r="798" spans="1:14" x14ac:dyDescent="0.35">
      <c r="A798">
        <v>797</v>
      </c>
      <c r="B798">
        <v>47</v>
      </c>
      <c r="C798" t="s">
        <v>16</v>
      </c>
      <c r="D798">
        <v>86651</v>
      </c>
      <c r="E798">
        <v>54</v>
      </c>
      <c r="F798">
        <v>3</v>
      </c>
      <c r="G798">
        <v>49</v>
      </c>
      <c r="H798" t="s">
        <v>14</v>
      </c>
      <c r="I798">
        <v>678.41</v>
      </c>
      <c r="J798" s="1" t="str">
        <f t="shared" si="36"/>
        <v>valid</v>
      </c>
      <c r="K798" t="e">
        <f t="shared" ca="1" si="37"/>
        <v>#NAME?</v>
      </c>
      <c r="L798" t="str">
        <f>IF(E798&gt;=80,"High Value","Normal")</f>
        <v>Normal</v>
      </c>
      <c r="M798" s="2" t="str">
        <f t="shared" si="38"/>
        <v>YES</v>
      </c>
      <c r="N798" t="str">
        <f>VLOOKUP(A798,A797:H1797,8)</f>
        <v>Home &amp; Garden</v>
      </c>
    </row>
    <row r="799" spans="1:14" x14ac:dyDescent="0.35">
      <c r="A799">
        <v>798</v>
      </c>
      <c r="B799">
        <v>68</v>
      </c>
      <c r="C799" t="s">
        <v>13</v>
      </c>
      <c r="D799">
        <v>44597</v>
      </c>
      <c r="E799">
        <v>3</v>
      </c>
      <c r="F799">
        <v>1</v>
      </c>
      <c r="G799">
        <v>36</v>
      </c>
      <c r="H799" t="s">
        <v>11</v>
      </c>
      <c r="I799">
        <v>743.73</v>
      </c>
      <c r="J799" s="1" t="str">
        <f t="shared" si="36"/>
        <v>valid</v>
      </c>
      <c r="K799" t="e">
        <f t="shared" ca="1" si="37"/>
        <v>#NAME?</v>
      </c>
      <c r="L799" t="str">
        <f>IF(E799&gt;=80,"High Value","Normal")</f>
        <v>Normal</v>
      </c>
      <c r="M799" s="2" t="str">
        <f t="shared" si="38"/>
        <v>YES</v>
      </c>
      <c r="N799" t="str">
        <f>VLOOKUP(A799,A798:H1798,8)</f>
        <v>Sports</v>
      </c>
    </row>
    <row r="800" spans="1:14" x14ac:dyDescent="0.35">
      <c r="A800">
        <v>799</v>
      </c>
      <c r="B800">
        <v>25</v>
      </c>
      <c r="C800" t="s">
        <v>16</v>
      </c>
      <c r="D800">
        <v>107042</v>
      </c>
      <c r="E800">
        <v>27</v>
      </c>
      <c r="F800">
        <v>1</v>
      </c>
      <c r="G800">
        <v>32</v>
      </c>
      <c r="H800" t="s">
        <v>12</v>
      </c>
      <c r="I800">
        <v>648.79</v>
      </c>
      <c r="J800" s="1" t="str">
        <f t="shared" si="36"/>
        <v>valid</v>
      </c>
      <c r="K800" t="e">
        <f t="shared" ca="1" si="37"/>
        <v>#NAME?</v>
      </c>
      <c r="L800" t="str">
        <f>IF(E800&gt;=80,"High Value","Normal")</f>
        <v>Normal</v>
      </c>
      <c r="M800" s="2" t="b">
        <f t="shared" si="38"/>
        <v>0</v>
      </c>
      <c r="N800" t="str">
        <f>VLOOKUP(A800,A799:H1799,8)</f>
        <v>Clothing</v>
      </c>
    </row>
    <row r="801" spans="1:14" x14ac:dyDescent="0.35">
      <c r="A801">
        <v>800</v>
      </c>
      <c r="B801">
        <v>35</v>
      </c>
      <c r="C801" t="s">
        <v>13</v>
      </c>
      <c r="D801">
        <v>114874</v>
      </c>
      <c r="E801">
        <v>40</v>
      </c>
      <c r="F801">
        <v>3</v>
      </c>
      <c r="G801">
        <v>15</v>
      </c>
      <c r="H801" t="s">
        <v>11</v>
      </c>
      <c r="I801">
        <v>333.55</v>
      </c>
      <c r="J801" s="1" t="str">
        <f t="shared" si="36"/>
        <v>valid</v>
      </c>
      <c r="K801" t="e">
        <f t="shared" ca="1" si="37"/>
        <v>#NAME?</v>
      </c>
      <c r="L801" t="str">
        <f>IF(E801&gt;=80,"High Value","Normal")</f>
        <v>Normal</v>
      </c>
      <c r="M801" s="2" t="b">
        <f t="shared" si="38"/>
        <v>0</v>
      </c>
      <c r="N801" t="str">
        <f>VLOOKUP(A801,A800:H1800,8)</f>
        <v>Sports</v>
      </c>
    </row>
    <row r="802" spans="1:14" x14ac:dyDescent="0.35">
      <c r="A802">
        <v>801</v>
      </c>
      <c r="B802">
        <v>61</v>
      </c>
      <c r="C802" t="s">
        <v>13</v>
      </c>
      <c r="D802">
        <v>69791</v>
      </c>
      <c r="E802">
        <v>33</v>
      </c>
      <c r="F802">
        <v>8</v>
      </c>
      <c r="G802">
        <v>1</v>
      </c>
      <c r="H802" t="s">
        <v>11</v>
      </c>
      <c r="I802">
        <v>165.39</v>
      </c>
      <c r="J802" s="1" t="str">
        <f t="shared" si="36"/>
        <v>valid</v>
      </c>
      <c r="K802" t="e">
        <f t="shared" ca="1" si="37"/>
        <v>#NAME?</v>
      </c>
      <c r="L802" t="str">
        <f>IF(E802&gt;=80,"High Value","Normal")</f>
        <v>Normal</v>
      </c>
      <c r="M802" s="2" t="b">
        <f t="shared" si="38"/>
        <v>0</v>
      </c>
      <c r="N802" t="str">
        <f>VLOOKUP(A802,A801:H1801,8)</f>
        <v>Sports</v>
      </c>
    </row>
    <row r="803" spans="1:14" x14ac:dyDescent="0.35">
      <c r="A803">
        <v>802</v>
      </c>
      <c r="B803">
        <v>51</v>
      </c>
      <c r="C803" t="s">
        <v>16</v>
      </c>
      <c r="D803">
        <v>107033</v>
      </c>
      <c r="E803">
        <v>96</v>
      </c>
      <c r="F803">
        <v>3</v>
      </c>
      <c r="G803">
        <v>42</v>
      </c>
      <c r="H803" t="s">
        <v>10</v>
      </c>
      <c r="I803">
        <v>992.17</v>
      </c>
      <c r="J803" s="1" t="str">
        <f t="shared" si="36"/>
        <v>valid</v>
      </c>
      <c r="K803" t="e">
        <f t="shared" ca="1" si="37"/>
        <v>#NAME?</v>
      </c>
      <c r="L803" t="str">
        <f>IF(E803&gt;=80,"High Value","Normal")</f>
        <v>High Value</v>
      </c>
      <c r="M803" s="2" t="str">
        <f t="shared" si="38"/>
        <v>YES</v>
      </c>
      <c r="N803" t="str">
        <f>VLOOKUP(A803,A802:H1802,8)</f>
        <v>Groceries</v>
      </c>
    </row>
    <row r="804" spans="1:14" x14ac:dyDescent="0.35">
      <c r="A804">
        <v>803</v>
      </c>
      <c r="B804">
        <v>64</v>
      </c>
      <c r="C804" t="s">
        <v>16</v>
      </c>
      <c r="D804">
        <v>127745</v>
      </c>
      <c r="E804">
        <v>72</v>
      </c>
      <c r="F804">
        <v>2</v>
      </c>
      <c r="G804">
        <v>11</v>
      </c>
      <c r="H804" t="s">
        <v>10</v>
      </c>
      <c r="I804">
        <v>192.17</v>
      </c>
      <c r="J804" s="1" t="str">
        <f t="shared" si="36"/>
        <v>valid</v>
      </c>
      <c r="K804" t="e">
        <f t="shared" ca="1" si="37"/>
        <v>#NAME?</v>
      </c>
      <c r="L804" t="str">
        <f>IF(E804&gt;=80,"High Value","Normal")</f>
        <v>Normal</v>
      </c>
      <c r="M804" s="2" t="b">
        <f t="shared" si="38"/>
        <v>0</v>
      </c>
      <c r="N804" t="str">
        <f>VLOOKUP(A804,A803:H1803,8)</f>
        <v>Groceries</v>
      </c>
    </row>
    <row r="805" spans="1:14" x14ac:dyDescent="0.35">
      <c r="A805">
        <v>804</v>
      </c>
      <c r="B805">
        <v>59</v>
      </c>
      <c r="C805" t="s">
        <v>9</v>
      </c>
      <c r="D805">
        <v>58656</v>
      </c>
      <c r="E805">
        <v>47</v>
      </c>
      <c r="F805">
        <v>6</v>
      </c>
      <c r="G805">
        <v>6</v>
      </c>
      <c r="H805" t="s">
        <v>10</v>
      </c>
      <c r="I805">
        <v>246.07</v>
      </c>
      <c r="J805" s="1" t="str">
        <f t="shared" si="36"/>
        <v>valid</v>
      </c>
      <c r="K805" t="e">
        <f t="shared" ca="1" si="37"/>
        <v>#NAME?</v>
      </c>
      <c r="L805" t="str">
        <f>IF(E805&gt;=80,"High Value","Normal")</f>
        <v>Normal</v>
      </c>
      <c r="M805" s="2" t="b">
        <f t="shared" si="38"/>
        <v>0</v>
      </c>
      <c r="N805" t="str">
        <f>VLOOKUP(A805,A804:H1804,8)</f>
        <v>Groceries</v>
      </c>
    </row>
    <row r="806" spans="1:14" x14ac:dyDescent="0.35">
      <c r="A806">
        <v>805</v>
      </c>
      <c r="B806">
        <v>51</v>
      </c>
      <c r="C806" t="s">
        <v>9</v>
      </c>
      <c r="D806">
        <v>97660</v>
      </c>
      <c r="E806">
        <v>3</v>
      </c>
      <c r="F806">
        <v>7</v>
      </c>
      <c r="G806">
        <v>30</v>
      </c>
      <c r="H806" t="s">
        <v>11</v>
      </c>
      <c r="I806">
        <v>145.66</v>
      </c>
      <c r="J806" s="1" t="str">
        <f t="shared" si="36"/>
        <v>valid</v>
      </c>
      <c r="K806" t="e">
        <f t="shared" ca="1" si="37"/>
        <v>#NAME?</v>
      </c>
      <c r="L806" t="str">
        <f>IF(E806&gt;=80,"High Value","Normal")</f>
        <v>Normal</v>
      </c>
      <c r="M806" s="2" t="str">
        <f t="shared" si="38"/>
        <v>YES</v>
      </c>
      <c r="N806" t="str">
        <f>VLOOKUP(A806,A805:H1805,8)</f>
        <v>Sports</v>
      </c>
    </row>
    <row r="807" spans="1:14" x14ac:dyDescent="0.35">
      <c r="A807">
        <v>806</v>
      </c>
      <c r="B807">
        <v>49</v>
      </c>
      <c r="C807" t="s">
        <v>16</v>
      </c>
      <c r="D807">
        <v>69864</v>
      </c>
      <c r="E807">
        <v>92</v>
      </c>
      <c r="F807">
        <v>10</v>
      </c>
      <c r="G807">
        <v>25</v>
      </c>
      <c r="H807" t="s">
        <v>10</v>
      </c>
      <c r="I807">
        <v>522.78</v>
      </c>
      <c r="J807" s="1" t="str">
        <f t="shared" si="36"/>
        <v>valid</v>
      </c>
      <c r="K807" t="e">
        <f t="shared" ca="1" si="37"/>
        <v>#NAME?</v>
      </c>
      <c r="L807" t="str">
        <f>IF(E807&gt;=80,"High Value","Normal")</f>
        <v>High Value</v>
      </c>
      <c r="M807" s="2" t="str">
        <f t="shared" si="38"/>
        <v>YES</v>
      </c>
      <c r="N807" t="str">
        <f>VLOOKUP(A807,A806:H1806,8)</f>
        <v>Groceries</v>
      </c>
    </row>
    <row r="808" spans="1:14" x14ac:dyDescent="0.35">
      <c r="A808">
        <v>807</v>
      </c>
      <c r="B808">
        <v>24</v>
      </c>
      <c r="C808" t="s">
        <v>16</v>
      </c>
      <c r="D808">
        <v>68172</v>
      </c>
      <c r="E808">
        <v>6</v>
      </c>
      <c r="F808">
        <v>1</v>
      </c>
      <c r="G808">
        <v>28</v>
      </c>
      <c r="H808" t="s">
        <v>12</v>
      </c>
      <c r="I808">
        <v>445.3</v>
      </c>
      <c r="J808" s="1" t="str">
        <f t="shared" si="36"/>
        <v>valid</v>
      </c>
      <c r="K808" t="e">
        <f t="shared" ca="1" si="37"/>
        <v>#NAME?</v>
      </c>
      <c r="L808" t="str">
        <f>IF(E808&gt;=80,"High Value","Normal")</f>
        <v>Normal</v>
      </c>
      <c r="M808" s="2" t="b">
        <f t="shared" si="38"/>
        <v>0</v>
      </c>
      <c r="N808" t="str">
        <f>VLOOKUP(A808,A807:H1807,8)</f>
        <v>Clothing</v>
      </c>
    </row>
    <row r="809" spans="1:14" x14ac:dyDescent="0.35">
      <c r="A809">
        <v>808</v>
      </c>
      <c r="B809">
        <v>33</v>
      </c>
      <c r="C809" t="s">
        <v>16</v>
      </c>
      <c r="D809">
        <v>127302</v>
      </c>
      <c r="E809">
        <v>43</v>
      </c>
      <c r="F809">
        <v>1</v>
      </c>
      <c r="G809">
        <v>40</v>
      </c>
      <c r="H809" t="s">
        <v>10</v>
      </c>
      <c r="I809">
        <v>785.52</v>
      </c>
      <c r="J809" s="1" t="str">
        <f t="shared" si="36"/>
        <v>valid</v>
      </c>
      <c r="K809" t="e">
        <f t="shared" ca="1" si="37"/>
        <v>#NAME?</v>
      </c>
      <c r="L809" t="str">
        <f>IF(E809&gt;=80,"High Value","Normal")</f>
        <v>Normal</v>
      </c>
      <c r="M809" s="2" t="str">
        <f t="shared" si="38"/>
        <v>YES</v>
      </c>
      <c r="N809" t="str">
        <f>VLOOKUP(A809,A808:H1808,8)</f>
        <v>Groceries</v>
      </c>
    </row>
    <row r="810" spans="1:14" x14ac:dyDescent="0.35">
      <c r="A810">
        <v>809</v>
      </c>
      <c r="B810">
        <v>46</v>
      </c>
      <c r="C810" t="s">
        <v>13</v>
      </c>
      <c r="D810">
        <v>91845</v>
      </c>
      <c r="E810">
        <v>35</v>
      </c>
      <c r="F810">
        <v>8</v>
      </c>
      <c r="G810">
        <v>49</v>
      </c>
      <c r="H810" t="s">
        <v>15</v>
      </c>
      <c r="I810">
        <v>537.23</v>
      </c>
      <c r="J810" s="1" t="str">
        <f t="shared" si="36"/>
        <v>valid</v>
      </c>
      <c r="K810" t="e">
        <f t="shared" ca="1" si="37"/>
        <v>#NAME?</v>
      </c>
      <c r="L810" t="str">
        <f>IF(E810&gt;=80,"High Value","Normal")</f>
        <v>Normal</v>
      </c>
      <c r="M810" s="2" t="str">
        <f t="shared" si="38"/>
        <v>YES</v>
      </c>
      <c r="N810" t="str">
        <f>VLOOKUP(A810,A809:H1809,8)</f>
        <v>Electronics</v>
      </c>
    </row>
    <row r="811" spans="1:14" x14ac:dyDescent="0.35">
      <c r="A811">
        <v>810</v>
      </c>
      <c r="B811">
        <v>35</v>
      </c>
      <c r="C811" t="s">
        <v>16</v>
      </c>
      <c r="D811">
        <v>83547</v>
      </c>
      <c r="E811">
        <v>27</v>
      </c>
      <c r="F811">
        <v>7</v>
      </c>
      <c r="G811">
        <v>40</v>
      </c>
      <c r="H811" t="s">
        <v>15</v>
      </c>
      <c r="I811">
        <v>570.08000000000004</v>
      </c>
      <c r="J811" s="1" t="str">
        <f t="shared" si="36"/>
        <v>valid</v>
      </c>
      <c r="K811" t="e">
        <f t="shared" ca="1" si="37"/>
        <v>#NAME?</v>
      </c>
      <c r="L811" t="str">
        <f>IF(E811&gt;=80,"High Value","Normal")</f>
        <v>Normal</v>
      </c>
      <c r="M811" s="2" t="str">
        <f t="shared" si="38"/>
        <v>YES</v>
      </c>
      <c r="N811" t="str">
        <f>VLOOKUP(A811,A810:H1810,8)</f>
        <v>Electronics</v>
      </c>
    </row>
    <row r="812" spans="1:14" x14ac:dyDescent="0.35">
      <c r="A812">
        <v>811</v>
      </c>
      <c r="B812">
        <v>27</v>
      </c>
      <c r="C812" t="s">
        <v>9</v>
      </c>
      <c r="D812">
        <v>78001</v>
      </c>
      <c r="E812">
        <v>50</v>
      </c>
      <c r="F812">
        <v>5</v>
      </c>
      <c r="G812">
        <v>17</v>
      </c>
      <c r="H812" t="s">
        <v>14</v>
      </c>
      <c r="I812">
        <v>117.03</v>
      </c>
      <c r="J812" s="1" t="str">
        <f t="shared" si="36"/>
        <v>valid</v>
      </c>
      <c r="K812" t="e">
        <f t="shared" ca="1" si="37"/>
        <v>#NAME?</v>
      </c>
      <c r="L812" t="str">
        <f>IF(E812&gt;=80,"High Value","Normal")</f>
        <v>Normal</v>
      </c>
      <c r="M812" s="2" t="b">
        <f t="shared" si="38"/>
        <v>0</v>
      </c>
      <c r="N812" t="str">
        <f>VLOOKUP(A812,A811:H1811,8)</f>
        <v>Home &amp; Garden</v>
      </c>
    </row>
    <row r="813" spans="1:14" x14ac:dyDescent="0.35">
      <c r="A813">
        <v>812</v>
      </c>
      <c r="B813">
        <v>53</v>
      </c>
      <c r="C813" t="s">
        <v>13</v>
      </c>
      <c r="D813">
        <v>76842</v>
      </c>
      <c r="E813">
        <v>73</v>
      </c>
      <c r="F813">
        <v>6</v>
      </c>
      <c r="G813">
        <v>35</v>
      </c>
      <c r="H813" t="s">
        <v>14</v>
      </c>
      <c r="I813">
        <v>701.61</v>
      </c>
      <c r="J813" s="1" t="str">
        <f t="shared" si="36"/>
        <v>valid</v>
      </c>
      <c r="K813" t="e">
        <f t="shared" ca="1" si="37"/>
        <v>#NAME?</v>
      </c>
      <c r="L813" t="str">
        <f>IF(E813&gt;=80,"High Value","Normal")</f>
        <v>Normal</v>
      </c>
      <c r="M813" s="2" t="str">
        <f t="shared" si="38"/>
        <v>YES</v>
      </c>
      <c r="N813" t="str">
        <f>VLOOKUP(A813,A812:H1812,8)</f>
        <v>Home &amp; Garden</v>
      </c>
    </row>
    <row r="814" spans="1:14" x14ac:dyDescent="0.35">
      <c r="A814">
        <v>813</v>
      </c>
      <c r="B814">
        <v>19</v>
      </c>
      <c r="C814" t="s">
        <v>16</v>
      </c>
      <c r="D814">
        <v>68304</v>
      </c>
      <c r="E814">
        <v>9</v>
      </c>
      <c r="F814">
        <v>10</v>
      </c>
      <c r="G814">
        <v>28</v>
      </c>
      <c r="H814" t="s">
        <v>11</v>
      </c>
      <c r="I814">
        <v>864.57</v>
      </c>
      <c r="J814" s="1" t="str">
        <f t="shared" si="36"/>
        <v>valid</v>
      </c>
      <c r="K814" t="e">
        <f t="shared" ca="1" si="37"/>
        <v>#NAME?</v>
      </c>
      <c r="L814" t="str">
        <f>IF(E814&gt;=80,"High Value","Normal")</f>
        <v>Normal</v>
      </c>
      <c r="M814" s="2" t="b">
        <f t="shared" si="38"/>
        <v>0</v>
      </c>
      <c r="N814" t="str">
        <f>VLOOKUP(A814,A813:H1813,8)</f>
        <v>Sports</v>
      </c>
    </row>
    <row r="815" spans="1:14" x14ac:dyDescent="0.35">
      <c r="A815">
        <v>814</v>
      </c>
      <c r="B815">
        <v>56</v>
      </c>
      <c r="C815" t="s">
        <v>13</v>
      </c>
      <c r="D815">
        <v>145028</v>
      </c>
      <c r="E815">
        <v>2</v>
      </c>
      <c r="F815">
        <v>10</v>
      </c>
      <c r="G815">
        <v>32</v>
      </c>
      <c r="H815" t="s">
        <v>14</v>
      </c>
      <c r="I815">
        <v>849.56</v>
      </c>
      <c r="J815" s="1" t="str">
        <f t="shared" si="36"/>
        <v>valid</v>
      </c>
      <c r="K815" t="e">
        <f t="shared" ca="1" si="37"/>
        <v>#NAME?</v>
      </c>
      <c r="L815" t="str">
        <f>IF(E815&gt;=80,"High Value","Normal")</f>
        <v>Normal</v>
      </c>
      <c r="M815" s="2" t="str">
        <f t="shared" si="38"/>
        <v>YES</v>
      </c>
      <c r="N815" t="str">
        <f>VLOOKUP(A815,A814:H1814,8)</f>
        <v>Home &amp; Garden</v>
      </c>
    </row>
    <row r="816" spans="1:14" x14ac:dyDescent="0.35">
      <c r="A816">
        <v>815</v>
      </c>
      <c r="B816">
        <v>53</v>
      </c>
      <c r="C816" t="s">
        <v>9</v>
      </c>
      <c r="D816">
        <v>58486</v>
      </c>
      <c r="E816">
        <v>87</v>
      </c>
      <c r="F816">
        <v>8</v>
      </c>
      <c r="G816">
        <v>23</v>
      </c>
      <c r="H816" t="s">
        <v>14</v>
      </c>
      <c r="I816">
        <v>409.35</v>
      </c>
      <c r="J816" s="1" t="str">
        <f t="shared" si="36"/>
        <v>valid</v>
      </c>
      <c r="K816" t="e">
        <f t="shared" ca="1" si="37"/>
        <v>#NAME?</v>
      </c>
      <c r="L816" t="str">
        <f>IF(E816&gt;=80,"High Value","Normal")</f>
        <v>High Value</v>
      </c>
      <c r="M816" s="2" t="str">
        <f t="shared" si="38"/>
        <v>YES</v>
      </c>
      <c r="N816" t="str">
        <f>VLOOKUP(A816,A815:H1815,8)</f>
        <v>Home &amp; Garden</v>
      </c>
    </row>
    <row r="817" spans="1:14" x14ac:dyDescent="0.35">
      <c r="A817">
        <v>816</v>
      </c>
      <c r="B817">
        <v>50</v>
      </c>
      <c r="C817" t="s">
        <v>13</v>
      </c>
      <c r="D817">
        <v>143612</v>
      </c>
      <c r="E817">
        <v>71</v>
      </c>
      <c r="F817">
        <v>9</v>
      </c>
      <c r="G817">
        <v>28</v>
      </c>
      <c r="H817" t="s">
        <v>10</v>
      </c>
      <c r="I817">
        <v>372.69</v>
      </c>
      <c r="J817" s="1" t="str">
        <f t="shared" si="36"/>
        <v>valid</v>
      </c>
      <c r="K817" t="e">
        <f t="shared" ca="1" si="37"/>
        <v>#NAME?</v>
      </c>
      <c r="L817" t="str">
        <f>IF(E817&gt;=80,"High Value","Normal")</f>
        <v>Normal</v>
      </c>
      <c r="M817" s="2" t="str">
        <f t="shared" si="38"/>
        <v>YES</v>
      </c>
      <c r="N817" t="str">
        <f>VLOOKUP(A817,A816:H1816,8)</f>
        <v>Groceries</v>
      </c>
    </row>
    <row r="818" spans="1:14" x14ac:dyDescent="0.35">
      <c r="A818">
        <v>817</v>
      </c>
      <c r="B818">
        <v>37</v>
      </c>
      <c r="C818" t="s">
        <v>9</v>
      </c>
      <c r="D818">
        <v>115734</v>
      </c>
      <c r="E818">
        <v>87</v>
      </c>
      <c r="F818">
        <v>2</v>
      </c>
      <c r="G818">
        <v>50</v>
      </c>
      <c r="H818" t="s">
        <v>10</v>
      </c>
      <c r="I818">
        <v>646.4</v>
      </c>
      <c r="J818" s="1" t="str">
        <f t="shared" si="36"/>
        <v>valid</v>
      </c>
      <c r="K818" t="e">
        <f t="shared" ca="1" si="37"/>
        <v>#NAME?</v>
      </c>
      <c r="L818" t="str">
        <f>IF(E818&gt;=80,"High Value","Normal")</f>
        <v>High Value</v>
      </c>
      <c r="M818" s="2" t="str">
        <f t="shared" si="38"/>
        <v>YES</v>
      </c>
      <c r="N818" t="str">
        <f>VLOOKUP(A818,A817:H1817,8)</f>
        <v>Groceries</v>
      </c>
    </row>
    <row r="819" spans="1:14" x14ac:dyDescent="0.35">
      <c r="A819">
        <v>818</v>
      </c>
      <c r="B819">
        <v>69</v>
      </c>
      <c r="C819" t="s">
        <v>16</v>
      </c>
      <c r="D819">
        <v>129445</v>
      </c>
      <c r="E819">
        <v>32</v>
      </c>
      <c r="F819">
        <v>3</v>
      </c>
      <c r="G819">
        <v>6</v>
      </c>
      <c r="H819" t="s">
        <v>14</v>
      </c>
      <c r="I819">
        <v>42.19</v>
      </c>
      <c r="J819" s="1" t="str">
        <f t="shared" si="36"/>
        <v>valid</v>
      </c>
      <c r="K819" t="e">
        <f t="shared" ca="1" si="37"/>
        <v>#NAME?</v>
      </c>
      <c r="L819" t="str">
        <f>IF(E819&gt;=80,"High Value","Normal")</f>
        <v>Normal</v>
      </c>
      <c r="M819" s="2" t="b">
        <f t="shared" si="38"/>
        <v>0</v>
      </c>
      <c r="N819" t="str">
        <f>VLOOKUP(A819,A818:H1818,8)</f>
        <v>Home &amp; Garden</v>
      </c>
    </row>
    <row r="820" spans="1:14" x14ac:dyDescent="0.35">
      <c r="A820">
        <v>819</v>
      </c>
      <c r="B820">
        <v>46</v>
      </c>
      <c r="C820" t="s">
        <v>13</v>
      </c>
      <c r="D820">
        <v>58692</v>
      </c>
      <c r="E820">
        <v>2</v>
      </c>
      <c r="F820">
        <v>9</v>
      </c>
      <c r="G820">
        <v>22</v>
      </c>
      <c r="H820" t="s">
        <v>14</v>
      </c>
      <c r="I820">
        <v>230.66</v>
      </c>
      <c r="J820" s="1" t="str">
        <f t="shared" si="36"/>
        <v>valid</v>
      </c>
      <c r="K820" t="e">
        <f t="shared" ca="1" si="37"/>
        <v>#NAME?</v>
      </c>
      <c r="L820" t="str">
        <f>IF(E820&gt;=80,"High Value","Normal")</f>
        <v>Normal</v>
      </c>
      <c r="M820" s="2" t="str">
        <f t="shared" si="38"/>
        <v>YES</v>
      </c>
      <c r="N820" t="str">
        <f>VLOOKUP(A820,A819:H1819,8)</f>
        <v>Home &amp; Garden</v>
      </c>
    </row>
    <row r="821" spans="1:14" x14ac:dyDescent="0.35">
      <c r="A821">
        <v>820</v>
      </c>
      <c r="B821">
        <v>52</v>
      </c>
      <c r="C821" t="s">
        <v>13</v>
      </c>
      <c r="D821">
        <v>73723</v>
      </c>
      <c r="E821">
        <v>69</v>
      </c>
      <c r="F821">
        <v>10</v>
      </c>
      <c r="G821">
        <v>19</v>
      </c>
      <c r="H821" t="s">
        <v>11</v>
      </c>
      <c r="I821">
        <v>321.92</v>
      </c>
      <c r="J821" s="1" t="str">
        <f t="shared" si="36"/>
        <v>valid</v>
      </c>
      <c r="K821" t="e">
        <f t="shared" ca="1" si="37"/>
        <v>#NAME?</v>
      </c>
      <c r="L821" t="str">
        <f>IF(E821&gt;=80,"High Value","Normal")</f>
        <v>Normal</v>
      </c>
      <c r="M821" s="2" t="b">
        <f t="shared" si="38"/>
        <v>0</v>
      </c>
      <c r="N821" t="str">
        <f>VLOOKUP(A821,A820:H1820,8)</f>
        <v>Sports</v>
      </c>
    </row>
    <row r="822" spans="1:14" x14ac:dyDescent="0.35">
      <c r="A822">
        <v>821</v>
      </c>
      <c r="B822">
        <v>41</v>
      </c>
      <c r="C822" t="s">
        <v>13</v>
      </c>
      <c r="D822">
        <v>37547</v>
      </c>
      <c r="E822">
        <v>72</v>
      </c>
      <c r="F822">
        <v>3</v>
      </c>
      <c r="G822">
        <v>24</v>
      </c>
      <c r="H822" t="s">
        <v>10</v>
      </c>
      <c r="I822">
        <v>897.46</v>
      </c>
      <c r="J822" s="1" t="str">
        <f t="shared" si="36"/>
        <v>valid</v>
      </c>
      <c r="K822" t="e">
        <f t="shared" ca="1" si="37"/>
        <v>#NAME?</v>
      </c>
      <c r="L822" t="str">
        <f>IF(E822&gt;=80,"High Value","Normal")</f>
        <v>Normal</v>
      </c>
      <c r="M822" s="2" t="str">
        <f t="shared" si="38"/>
        <v>YES</v>
      </c>
      <c r="N822" t="str">
        <f>VLOOKUP(A822,A821:H1821,8)</f>
        <v>Groceries</v>
      </c>
    </row>
    <row r="823" spans="1:14" x14ac:dyDescent="0.35">
      <c r="A823">
        <v>822</v>
      </c>
      <c r="B823">
        <v>26</v>
      </c>
      <c r="C823" t="s">
        <v>9</v>
      </c>
      <c r="D823">
        <v>34901</v>
      </c>
      <c r="E823">
        <v>31</v>
      </c>
      <c r="F823">
        <v>7</v>
      </c>
      <c r="G823">
        <v>9</v>
      </c>
      <c r="H823" t="s">
        <v>10</v>
      </c>
      <c r="I823">
        <v>667.8</v>
      </c>
      <c r="J823" s="1" t="str">
        <f t="shared" si="36"/>
        <v>valid</v>
      </c>
      <c r="K823" t="e">
        <f t="shared" ca="1" si="37"/>
        <v>#NAME?</v>
      </c>
      <c r="L823" t="str">
        <f>IF(E823&gt;=80,"High Value","Normal")</f>
        <v>Normal</v>
      </c>
      <c r="M823" s="2" t="b">
        <f t="shared" si="38"/>
        <v>0</v>
      </c>
      <c r="N823" t="str">
        <f>VLOOKUP(A823,A822:H1822,8)</f>
        <v>Groceries</v>
      </c>
    </row>
    <row r="824" spans="1:14" x14ac:dyDescent="0.35">
      <c r="A824">
        <v>823</v>
      </c>
      <c r="B824">
        <v>69</v>
      </c>
      <c r="C824" t="s">
        <v>16</v>
      </c>
      <c r="D824">
        <v>85068</v>
      </c>
      <c r="E824">
        <v>54</v>
      </c>
      <c r="F824">
        <v>6</v>
      </c>
      <c r="G824">
        <v>24</v>
      </c>
      <c r="H824" t="s">
        <v>11</v>
      </c>
      <c r="I824">
        <v>846.68</v>
      </c>
      <c r="J824" s="1" t="str">
        <f t="shared" si="36"/>
        <v>valid</v>
      </c>
      <c r="K824" t="e">
        <f t="shared" ca="1" si="37"/>
        <v>#NAME?</v>
      </c>
      <c r="L824" t="str">
        <f>IF(E824&gt;=80,"High Value","Normal")</f>
        <v>Normal</v>
      </c>
      <c r="M824" s="2" t="str">
        <f t="shared" si="38"/>
        <v>YES</v>
      </c>
      <c r="N824" t="str">
        <f>VLOOKUP(A824,A823:H1823,8)</f>
        <v>Sports</v>
      </c>
    </row>
    <row r="825" spans="1:14" x14ac:dyDescent="0.35">
      <c r="A825">
        <v>824</v>
      </c>
      <c r="B825">
        <v>38</v>
      </c>
      <c r="C825" t="s">
        <v>9</v>
      </c>
      <c r="D825">
        <v>81244</v>
      </c>
      <c r="E825">
        <v>57</v>
      </c>
      <c r="F825">
        <v>5</v>
      </c>
      <c r="G825">
        <v>3</v>
      </c>
      <c r="H825" t="s">
        <v>14</v>
      </c>
      <c r="I825">
        <v>301.58999999999997</v>
      </c>
      <c r="J825" s="1" t="str">
        <f t="shared" si="36"/>
        <v>valid</v>
      </c>
      <c r="K825" t="e">
        <f t="shared" ca="1" si="37"/>
        <v>#NAME?</v>
      </c>
      <c r="L825" t="str">
        <f>IF(E825&gt;=80,"High Value","Normal")</f>
        <v>Normal</v>
      </c>
      <c r="M825" s="2" t="b">
        <f t="shared" si="38"/>
        <v>0</v>
      </c>
      <c r="N825" t="str">
        <f>VLOOKUP(A825,A824:H1824,8)</f>
        <v>Home &amp; Garden</v>
      </c>
    </row>
    <row r="826" spans="1:14" x14ac:dyDescent="0.35">
      <c r="A826">
        <v>825</v>
      </c>
      <c r="B826">
        <v>30</v>
      </c>
      <c r="C826" t="s">
        <v>9</v>
      </c>
      <c r="D826">
        <v>121358</v>
      </c>
      <c r="E826">
        <v>16</v>
      </c>
      <c r="F826">
        <v>1</v>
      </c>
      <c r="G826">
        <v>2</v>
      </c>
      <c r="H826" t="s">
        <v>15</v>
      </c>
      <c r="I826">
        <v>122.7</v>
      </c>
      <c r="J826" s="1" t="str">
        <f t="shared" si="36"/>
        <v>valid</v>
      </c>
      <c r="K826" t="e">
        <f t="shared" ca="1" si="37"/>
        <v>#NAME?</v>
      </c>
      <c r="L826" t="str">
        <f>IF(E826&gt;=80,"High Value","Normal")</f>
        <v>Normal</v>
      </c>
      <c r="M826" s="2" t="b">
        <f t="shared" si="38"/>
        <v>0</v>
      </c>
      <c r="N826" t="str">
        <f>VLOOKUP(A826,A825:H1825,8)</f>
        <v>Electronics</v>
      </c>
    </row>
    <row r="827" spans="1:14" x14ac:dyDescent="0.35">
      <c r="A827">
        <v>826</v>
      </c>
      <c r="B827">
        <v>48</v>
      </c>
      <c r="C827" t="s">
        <v>16</v>
      </c>
      <c r="D827">
        <v>111795</v>
      </c>
      <c r="E827">
        <v>41</v>
      </c>
      <c r="F827">
        <v>9</v>
      </c>
      <c r="G827">
        <v>17</v>
      </c>
      <c r="H827" t="s">
        <v>10</v>
      </c>
      <c r="I827">
        <v>116.19</v>
      </c>
      <c r="J827" s="1" t="str">
        <f t="shared" si="36"/>
        <v>valid</v>
      </c>
      <c r="K827" t="e">
        <f t="shared" ca="1" si="37"/>
        <v>#NAME?</v>
      </c>
      <c r="L827" t="str">
        <f>IF(E827&gt;=80,"High Value","Normal")</f>
        <v>Normal</v>
      </c>
      <c r="M827" s="2" t="b">
        <f t="shared" si="38"/>
        <v>0</v>
      </c>
      <c r="N827" t="str">
        <f>VLOOKUP(A827,A826:H1826,8)</f>
        <v>Groceries</v>
      </c>
    </row>
    <row r="828" spans="1:14" x14ac:dyDescent="0.35">
      <c r="A828">
        <v>827</v>
      </c>
      <c r="B828">
        <v>62</v>
      </c>
      <c r="C828" t="s">
        <v>13</v>
      </c>
      <c r="D828">
        <v>88975</v>
      </c>
      <c r="E828">
        <v>58</v>
      </c>
      <c r="F828">
        <v>6</v>
      </c>
      <c r="G828">
        <v>24</v>
      </c>
      <c r="H828" t="s">
        <v>11</v>
      </c>
      <c r="I828">
        <v>921.21</v>
      </c>
      <c r="J828" s="1" t="str">
        <f t="shared" si="36"/>
        <v>valid</v>
      </c>
      <c r="K828" t="e">
        <f t="shared" ca="1" si="37"/>
        <v>#NAME?</v>
      </c>
      <c r="L828" t="str">
        <f>IF(E828&gt;=80,"High Value","Normal")</f>
        <v>Normal</v>
      </c>
      <c r="M828" s="2" t="str">
        <f t="shared" si="38"/>
        <v>YES</v>
      </c>
      <c r="N828" t="str">
        <f>VLOOKUP(A828,A827:H1827,8)</f>
        <v>Sports</v>
      </c>
    </row>
    <row r="829" spans="1:14" x14ac:dyDescent="0.35">
      <c r="A829">
        <v>828</v>
      </c>
      <c r="B829">
        <v>34</v>
      </c>
      <c r="C829" t="s">
        <v>16</v>
      </c>
      <c r="D829">
        <v>43316</v>
      </c>
      <c r="E829">
        <v>72</v>
      </c>
      <c r="F829">
        <v>7</v>
      </c>
      <c r="G829">
        <v>13</v>
      </c>
      <c r="H829" t="s">
        <v>15</v>
      </c>
      <c r="I829">
        <v>274.88</v>
      </c>
      <c r="J829" s="1" t="str">
        <f t="shared" si="36"/>
        <v>valid</v>
      </c>
      <c r="K829" t="e">
        <f t="shared" ca="1" si="37"/>
        <v>#NAME?</v>
      </c>
      <c r="L829" t="str">
        <f>IF(E829&gt;=80,"High Value","Normal")</f>
        <v>Normal</v>
      </c>
      <c r="M829" s="2" t="b">
        <f t="shared" si="38"/>
        <v>0</v>
      </c>
      <c r="N829" t="str">
        <f>VLOOKUP(A829,A828:H1828,8)</f>
        <v>Electronics</v>
      </c>
    </row>
    <row r="830" spans="1:14" x14ac:dyDescent="0.35">
      <c r="A830">
        <v>829</v>
      </c>
      <c r="B830">
        <v>37</v>
      </c>
      <c r="C830" t="s">
        <v>16</v>
      </c>
      <c r="D830">
        <v>112949</v>
      </c>
      <c r="E830">
        <v>33</v>
      </c>
      <c r="F830">
        <v>8</v>
      </c>
      <c r="G830">
        <v>40</v>
      </c>
      <c r="H830" t="s">
        <v>14</v>
      </c>
      <c r="I830">
        <v>424.07</v>
      </c>
      <c r="J830" s="1" t="str">
        <f t="shared" si="36"/>
        <v>valid</v>
      </c>
      <c r="K830" t="e">
        <f t="shared" ca="1" si="37"/>
        <v>#NAME?</v>
      </c>
      <c r="L830" t="str">
        <f>IF(E830&gt;=80,"High Value","Normal")</f>
        <v>Normal</v>
      </c>
      <c r="M830" s="2" t="str">
        <f t="shared" si="38"/>
        <v>YES</v>
      </c>
      <c r="N830" t="str">
        <f>VLOOKUP(A830,A829:H1829,8)</f>
        <v>Home &amp; Garden</v>
      </c>
    </row>
    <row r="831" spans="1:14" x14ac:dyDescent="0.35">
      <c r="A831">
        <v>830</v>
      </c>
      <c r="B831">
        <v>28</v>
      </c>
      <c r="C831" t="s">
        <v>16</v>
      </c>
      <c r="D831">
        <v>136418</v>
      </c>
      <c r="E831">
        <v>17</v>
      </c>
      <c r="F831">
        <v>5</v>
      </c>
      <c r="G831">
        <v>17</v>
      </c>
      <c r="H831" t="s">
        <v>14</v>
      </c>
      <c r="I831">
        <v>765.53</v>
      </c>
      <c r="J831" s="1" t="str">
        <f t="shared" si="36"/>
        <v>valid</v>
      </c>
      <c r="K831" t="e">
        <f t="shared" ca="1" si="37"/>
        <v>#NAME?</v>
      </c>
      <c r="L831" t="str">
        <f>IF(E831&gt;=80,"High Value","Normal")</f>
        <v>Normal</v>
      </c>
      <c r="M831" s="2" t="b">
        <f t="shared" si="38"/>
        <v>0</v>
      </c>
      <c r="N831" t="str">
        <f>VLOOKUP(A831,A830:H1830,8)</f>
        <v>Home &amp; Garden</v>
      </c>
    </row>
    <row r="832" spans="1:14" x14ac:dyDescent="0.35">
      <c r="A832">
        <v>831</v>
      </c>
      <c r="B832">
        <v>43</v>
      </c>
      <c r="C832" t="s">
        <v>9</v>
      </c>
      <c r="D832">
        <v>76811</v>
      </c>
      <c r="E832">
        <v>26</v>
      </c>
      <c r="F832">
        <v>1</v>
      </c>
      <c r="G832">
        <v>33</v>
      </c>
      <c r="H832" t="s">
        <v>14</v>
      </c>
      <c r="I832">
        <v>836.5</v>
      </c>
      <c r="J832" s="1" t="str">
        <f t="shared" si="36"/>
        <v>valid</v>
      </c>
      <c r="K832" t="e">
        <f t="shared" ca="1" si="37"/>
        <v>#NAME?</v>
      </c>
      <c r="L832" t="str">
        <f>IF(E832&gt;=80,"High Value","Normal")</f>
        <v>Normal</v>
      </c>
      <c r="M832" s="2" t="str">
        <f t="shared" si="38"/>
        <v>YES</v>
      </c>
      <c r="N832" t="str">
        <f>VLOOKUP(A832,A831:H1831,8)</f>
        <v>Home &amp; Garden</v>
      </c>
    </row>
    <row r="833" spans="1:14" x14ac:dyDescent="0.35">
      <c r="A833">
        <v>832</v>
      </c>
      <c r="B833">
        <v>69</v>
      </c>
      <c r="C833" t="s">
        <v>13</v>
      </c>
      <c r="D833">
        <v>81964</v>
      </c>
      <c r="E833">
        <v>22</v>
      </c>
      <c r="F833">
        <v>1</v>
      </c>
      <c r="G833">
        <v>3</v>
      </c>
      <c r="H833" t="s">
        <v>14</v>
      </c>
      <c r="I833">
        <v>839.2</v>
      </c>
      <c r="J833" s="1" t="str">
        <f t="shared" si="36"/>
        <v>valid</v>
      </c>
      <c r="K833" t="e">
        <f t="shared" ca="1" si="37"/>
        <v>#NAME?</v>
      </c>
      <c r="L833" t="str">
        <f>IF(E833&gt;=80,"High Value","Normal")</f>
        <v>Normal</v>
      </c>
      <c r="M833" s="2" t="b">
        <f t="shared" si="38"/>
        <v>0</v>
      </c>
      <c r="N833" t="str">
        <f>VLOOKUP(A833,A832:H1832,8)</f>
        <v>Home &amp; Garden</v>
      </c>
    </row>
    <row r="834" spans="1:14" x14ac:dyDescent="0.35">
      <c r="A834">
        <v>833</v>
      </c>
      <c r="B834">
        <v>43</v>
      </c>
      <c r="C834" t="s">
        <v>9</v>
      </c>
      <c r="D834">
        <v>85487</v>
      </c>
      <c r="E834">
        <v>71</v>
      </c>
      <c r="F834">
        <v>7</v>
      </c>
      <c r="G834">
        <v>49</v>
      </c>
      <c r="H834" t="s">
        <v>11</v>
      </c>
      <c r="I834">
        <v>625.26</v>
      </c>
      <c r="J834" s="1" t="str">
        <f t="shared" si="36"/>
        <v>valid</v>
      </c>
      <c r="K834" t="e">
        <f t="shared" ca="1" si="37"/>
        <v>#NAME?</v>
      </c>
      <c r="L834" t="str">
        <f>IF(E834&gt;=80,"High Value","Normal")</f>
        <v>Normal</v>
      </c>
      <c r="M834" s="2" t="str">
        <f t="shared" si="38"/>
        <v>YES</v>
      </c>
      <c r="N834" t="str">
        <f>VLOOKUP(A834,A833:H1833,8)</f>
        <v>Sports</v>
      </c>
    </row>
    <row r="835" spans="1:14" x14ac:dyDescent="0.35">
      <c r="A835">
        <v>834</v>
      </c>
      <c r="B835">
        <v>38</v>
      </c>
      <c r="C835" t="s">
        <v>16</v>
      </c>
      <c r="D835">
        <v>101111</v>
      </c>
      <c r="E835">
        <v>98</v>
      </c>
      <c r="F835">
        <v>8</v>
      </c>
      <c r="G835">
        <v>35</v>
      </c>
      <c r="H835" t="s">
        <v>12</v>
      </c>
      <c r="I835">
        <v>738.01</v>
      </c>
      <c r="J835" s="1" t="str">
        <f t="shared" ref="J835:J898" si="39">IF(AND(B835&gt;=18, B835&lt;=100), "valid", "invalid")</f>
        <v>valid</v>
      </c>
      <c r="K835" t="e">
        <f t="shared" ref="K835:K898" ca="1" si="40">IFS(OR(C835= "Female",C835="female",C835= "F"), "Female", OR(C835="Male", C835="male",C835= "M"), "Male", TRUE, "Other")</f>
        <v>#NAME?</v>
      </c>
      <c r="L835" t="str">
        <f>IF(E835&gt;=80,"High Value","Normal")</f>
        <v>High Value</v>
      </c>
      <c r="M835" s="2" t="str">
        <f t="shared" ref="M835:M898" si="41">IF(AND(B835&gt;30,G835&gt;20), "YES")</f>
        <v>YES</v>
      </c>
      <c r="N835" t="str">
        <f>VLOOKUP(A835,A834:H1834,8)</f>
        <v>Clothing</v>
      </c>
    </row>
    <row r="836" spans="1:14" x14ac:dyDescent="0.35">
      <c r="A836">
        <v>835</v>
      </c>
      <c r="B836">
        <v>41</v>
      </c>
      <c r="C836" t="s">
        <v>9</v>
      </c>
      <c r="D836">
        <v>68147</v>
      </c>
      <c r="E836">
        <v>75</v>
      </c>
      <c r="F836">
        <v>2</v>
      </c>
      <c r="G836">
        <v>33</v>
      </c>
      <c r="H836" t="s">
        <v>10</v>
      </c>
      <c r="I836">
        <v>553.35</v>
      </c>
      <c r="J836" s="1" t="str">
        <f t="shared" si="39"/>
        <v>valid</v>
      </c>
      <c r="K836" t="e">
        <f t="shared" ca="1" si="40"/>
        <v>#NAME?</v>
      </c>
      <c r="L836" t="str">
        <f>IF(E836&gt;=80,"High Value","Normal")</f>
        <v>Normal</v>
      </c>
      <c r="M836" s="2" t="str">
        <f t="shared" si="41"/>
        <v>YES</v>
      </c>
      <c r="N836" t="str">
        <f>VLOOKUP(A836,A835:H1835,8)</f>
        <v>Groceries</v>
      </c>
    </row>
    <row r="837" spans="1:14" x14ac:dyDescent="0.35">
      <c r="A837">
        <v>836</v>
      </c>
      <c r="B837">
        <v>30</v>
      </c>
      <c r="C837" t="s">
        <v>13</v>
      </c>
      <c r="D837">
        <v>42089</v>
      </c>
      <c r="E837">
        <v>29</v>
      </c>
      <c r="F837">
        <v>3</v>
      </c>
      <c r="G837">
        <v>3</v>
      </c>
      <c r="H837" t="s">
        <v>14</v>
      </c>
      <c r="I837">
        <v>536.52</v>
      </c>
      <c r="J837" s="1" t="str">
        <f t="shared" si="39"/>
        <v>valid</v>
      </c>
      <c r="K837" t="e">
        <f t="shared" ca="1" si="40"/>
        <v>#NAME?</v>
      </c>
      <c r="L837" t="str">
        <f>IF(E837&gt;=80,"High Value","Normal")</f>
        <v>Normal</v>
      </c>
      <c r="M837" s="2" t="b">
        <f t="shared" si="41"/>
        <v>0</v>
      </c>
      <c r="N837" t="str">
        <f>VLOOKUP(A837,A836:H1836,8)</f>
        <v>Home &amp; Garden</v>
      </c>
    </row>
    <row r="838" spans="1:14" x14ac:dyDescent="0.35">
      <c r="A838">
        <v>837</v>
      </c>
      <c r="B838">
        <v>69</v>
      </c>
      <c r="C838" t="s">
        <v>9</v>
      </c>
      <c r="D838">
        <v>106629</v>
      </c>
      <c r="E838">
        <v>4</v>
      </c>
      <c r="F838">
        <v>7</v>
      </c>
      <c r="G838">
        <v>9</v>
      </c>
      <c r="H838" t="s">
        <v>10</v>
      </c>
      <c r="I838">
        <v>443.22</v>
      </c>
      <c r="J838" s="1" t="str">
        <f t="shared" si="39"/>
        <v>valid</v>
      </c>
      <c r="K838" t="e">
        <f t="shared" ca="1" si="40"/>
        <v>#NAME?</v>
      </c>
      <c r="L838" t="str">
        <f>IF(E838&gt;=80,"High Value","Normal")</f>
        <v>Normal</v>
      </c>
      <c r="M838" s="2" t="b">
        <f t="shared" si="41"/>
        <v>0</v>
      </c>
      <c r="N838" t="str">
        <f>VLOOKUP(A838,A837:H1837,8)</f>
        <v>Groceries</v>
      </c>
    </row>
    <row r="839" spans="1:14" x14ac:dyDescent="0.35">
      <c r="A839">
        <v>838</v>
      </c>
      <c r="B839">
        <v>57</v>
      </c>
      <c r="C839" t="s">
        <v>16</v>
      </c>
      <c r="D839">
        <v>98928</v>
      </c>
      <c r="E839">
        <v>80</v>
      </c>
      <c r="F839">
        <v>3</v>
      </c>
      <c r="G839">
        <v>33</v>
      </c>
      <c r="H839" t="s">
        <v>15</v>
      </c>
      <c r="I839">
        <v>934.98</v>
      </c>
      <c r="J839" s="1" t="str">
        <f t="shared" si="39"/>
        <v>valid</v>
      </c>
      <c r="K839" t="e">
        <f t="shared" ca="1" si="40"/>
        <v>#NAME?</v>
      </c>
      <c r="L839" t="str">
        <f>IF(E839&gt;=80,"High Value","Normal")</f>
        <v>High Value</v>
      </c>
      <c r="M839" s="2" t="str">
        <f t="shared" si="41"/>
        <v>YES</v>
      </c>
      <c r="N839" t="str">
        <f>VLOOKUP(A839,A838:H1838,8)</f>
        <v>Electronics</v>
      </c>
    </row>
    <row r="840" spans="1:14" x14ac:dyDescent="0.35">
      <c r="A840">
        <v>839</v>
      </c>
      <c r="B840">
        <v>43</v>
      </c>
      <c r="C840" t="s">
        <v>16</v>
      </c>
      <c r="D840">
        <v>90687</v>
      </c>
      <c r="E840">
        <v>9</v>
      </c>
      <c r="F840">
        <v>5</v>
      </c>
      <c r="G840">
        <v>24</v>
      </c>
      <c r="H840" t="s">
        <v>11</v>
      </c>
      <c r="I840">
        <v>531.25</v>
      </c>
      <c r="J840" s="1" t="str">
        <f t="shared" si="39"/>
        <v>valid</v>
      </c>
      <c r="K840" t="e">
        <f t="shared" ca="1" si="40"/>
        <v>#NAME?</v>
      </c>
      <c r="L840" t="str">
        <f>IF(E840&gt;=80,"High Value","Normal")</f>
        <v>Normal</v>
      </c>
      <c r="M840" s="2" t="str">
        <f t="shared" si="41"/>
        <v>YES</v>
      </c>
      <c r="N840" t="str">
        <f>VLOOKUP(A840,A839:H1839,8)</f>
        <v>Sports</v>
      </c>
    </row>
    <row r="841" spans="1:14" x14ac:dyDescent="0.35">
      <c r="A841">
        <v>840</v>
      </c>
      <c r="B841">
        <v>58</v>
      </c>
      <c r="C841" t="s">
        <v>9</v>
      </c>
      <c r="D841">
        <v>68764</v>
      </c>
      <c r="E841">
        <v>96</v>
      </c>
      <c r="F841">
        <v>6</v>
      </c>
      <c r="G841">
        <v>31</v>
      </c>
      <c r="H841" t="s">
        <v>10</v>
      </c>
      <c r="I841">
        <v>723.66</v>
      </c>
      <c r="J841" s="1" t="str">
        <f t="shared" si="39"/>
        <v>valid</v>
      </c>
      <c r="K841" t="e">
        <f t="shared" ca="1" si="40"/>
        <v>#NAME?</v>
      </c>
      <c r="L841" t="str">
        <f>IF(E841&gt;=80,"High Value","Normal")</f>
        <v>High Value</v>
      </c>
      <c r="M841" s="2" t="str">
        <f t="shared" si="41"/>
        <v>YES</v>
      </c>
      <c r="N841" t="str">
        <f>VLOOKUP(A841,A840:H1840,8)</f>
        <v>Groceries</v>
      </c>
    </row>
    <row r="842" spans="1:14" x14ac:dyDescent="0.35">
      <c r="A842">
        <v>841</v>
      </c>
      <c r="B842">
        <v>40</v>
      </c>
      <c r="C842" t="s">
        <v>16</v>
      </c>
      <c r="D842">
        <v>125996</v>
      </c>
      <c r="E842">
        <v>64</v>
      </c>
      <c r="F842">
        <v>6</v>
      </c>
      <c r="G842">
        <v>15</v>
      </c>
      <c r="H842" t="s">
        <v>12</v>
      </c>
      <c r="I842">
        <v>583.95000000000005</v>
      </c>
      <c r="J842" s="1" t="str">
        <f t="shared" si="39"/>
        <v>valid</v>
      </c>
      <c r="K842" t="e">
        <f t="shared" ca="1" si="40"/>
        <v>#NAME?</v>
      </c>
      <c r="L842" t="str">
        <f>IF(E842&gt;=80,"High Value","Normal")</f>
        <v>Normal</v>
      </c>
      <c r="M842" s="2" t="b">
        <f t="shared" si="41"/>
        <v>0</v>
      </c>
      <c r="N842" t="str">
        <f>VLOOKUP(A842,A841:H1841,8)</f>
        <v>Clothing</v>
      </c>
    </row>
    <row r="843" spans="1:14" x14ac:dyDescent="0.35">
      <c r="A843">
        <v>842</v>
      </c>
      <c r="B843">
        <v>33</v>
      </c>
      <c r="C843" t="s">
        <v>9</v>
      </c>
      <c r="D843">
        <v>96916</v>
      </c>
      <c r="E843">
        <v>23</v>
      </c>
      <c r="F843">
        <v>6</v>
      </c>
      <c r="G843">
        <v>12</v>
      </c>
      <c r="H843" t="s">
        <v>11</v>
      </c>
      <c r="I843">
        <v>373.49</v>
      </c>
      <c r="J843" s="1" t="str">
        <f t="shared" si="39"/>
        <v>valid</v>
      </c>
      <c r="K843" t="e">
        <f t="shared" ca="1" si="40"/>
        <v>#NAME?</v>
      </c>
      <c r="L843" t="str">
        <f>IF(E843&gt;=80,"High Value","Normal")</f>
        <v>Normal</v>
      </c>
      <c r="M843" s="2" t="b">
        <f t="shared" si="41"/>
        <v>0</v>
      </c>
      <c r="N843" t="str">
        <f>VLOOKUP(A843,A842:H1842,8)</f>
        <v>Sports</v>
      </c>
    </row>
    <row r="844" spans="1:14" x14ac:dyDescent="0.35">
      <c r="A844">
        <v>843</v>
      </c>
      <c r="B844">
        <v>50</v>
      </c>
      <c r="C844" t="s">
        <v>13</v>
      </c>
      <c r="D844">
        <v>149578</v>
      </c>
      <c r="E844">
        <v>28</v>
      </c>
      <c r="F844">
        <v>2</v>
      </c>
      <c r="G844">
        <v>39</v>
      </c>
      <c r="H844" t="s">
        <v>14</v>
      </c>
      <c r="I844">
        <v>839.34</v>
      </c>
      <c r="J844" s="1" t="str">
        <f t="shared" si="39"/>
        <v>valid</v>
      </c>
      <c r="K844" t="e">
        <f t="shared" ca="1" si="40"/>
        <v>#NAME?</v>
      </c>
      <c r="L844" t="str">
        <f>IF(E844&gt;=80,"High Value","Normal")</f>
        <v>Normal</v>
      </c>
      <c r="M844" s="2" t="str">
        <f t="shared" si="41"/>
        <v>YES</v>
      </c>
      <c r="N844" t="str">
        <f>VLOOKUP(A844,A843:H1843,8)</f>
        <v>Home &amp; Garden</v>
      </c>
    </row>
    <row r="845" spans="1:14" x14ac:dyDescent="0.35">
      <c r="A845">
        <v>844</v>
      </c>
      <c r="B845">
        <v>43</v>
      </c>
      <c r="C845" t="s">
        <v>16</v>
      </c>
      <c r="D845">
        <v>140638</v>
      </c>
      <c r="E845">
        <v>62</v>
      </c>
      <c r="F845">
        <v>10</v>
      </c>
      <c r="G845">
        <v>18</v>
      </c>
      <c r="H845" t="s">
        <v>14</v>
      </c>
      <c r="I845">
        <v>78.52</v>
      </c>
      <c r="J845" s="1" t="str">
        <f t="shared" si="39"/>
        <v>valid</v>
      </c>
      <c r="K845" t="e">
        <f t="shared" ca="1" si="40"/>
        <v>#NAME?</v>
      </c>
      <c r="L845" t="str">
        <f>IF(E845&gt;=80,"High Value","Normal")</f>
        <v>Normal</v>
      </c>
      <c r="M845" s="2" t="b">
        <f t="shared" si="41"/>
        <v>0</v>
      </c>
      <c r="N845" t="str">
        <f>VLOOKUP(A845,A844:H1844,8)</f>
        <v>Home &amp; Garden</v>
      </c>
    </row>
    <row r="846" spans="1:14" x14ac:dyDescent="0.35">
      <c r="A846">
        <v>845</v>
      </c>
      <c r="B846">
        <v>45</v>
      </c>
      <c r="C846" t="s">
        <v>9</v>
      </c>
      <c r="D846">
        <v>57615</v>
      </c>
      <c r="E846">
        <v>30</v>
      </c>
      <c r="F846">
        <v>5</v>
      </c>
      <c r="G846">
        <v>15</v>
      </c>
      <c r="H846" t="s">
        <v>15</v>
      </c>
      <c r="I846">
        <v>998.09</v>
      </c>
      <c r="J846" s="1" t="str">
        <f t="shared" si="39"/>
        <v>valid</v>
      </c>
      <c r="K846" t="e">
        <f t="shared" ca="1" si="40"/>
        <v>#NAME?</v>
      </c>
      <c r="L846" t="str">
        <f>IF(E846&gt;=80,"High Value","Normal")</f>
        <v>Normal</v>
      </c>
      <c r="M846" s="2" t="b">
        <f t="shared" si="41"/>
        <v>0</v>
      </c>
      <c r="N846" t="str">
        <f>VLOOKUP(A846,A845:H1845,8)</f>
        <v>Electronics</v>
      </c>
    </row>
    <row r="847" spans="1:14" x14ac:dyDescent="0.35">
      <c r="A847">
        <v>846</v>
      </c>
      <c r="B847">
        <v>60</v>
      </c>
      <c r="C847" t="s">
        <v>13</v>
      </c>
      <c r="D847">
        <v>61376</v>
      </c>
      <c r="E847">
        <v>97</v>
      </c>
      <c r="F847">
        <v>8</v>
      </c>
      <c r="G847">
        <v>9</v>
      </c>
      <c r="H847" t="s">
        <v>15</v>
      </c>
      <c r="I847">
        <v>793.84</v>
      </c>
      <c r="J847" s="1" t="str">
        <f t="shared" si="39"/>
        <v>valid</v>
      </c>
      <c r="K847" t="e">
        <f t="shared" ca="1" si="40"/>
        <v>#NAME?</v>
      </c>
      <c r="L847" t="str">
        <f>IF(E847&gt;=80,"High Value","Normal")</f>
        <v>High Value</v>
      </c>
      <c r="M847" s="2" t="b">
        <f t="shared" si="41"/>
        <v>0</v>
      </c>
      <c r="N847" t="str">
        <f>VLOOKUP(A847,A846:H1846,8)</f>
        <v>Electronics</v>
      </c>
    </row>
    <row r="848" spans="1:14" x14ac:dyDescent="0.35">
      <c r="A848">
        <v>847</v>
      </c>
      <c r="B848">
        <v>22</v>
      </c>
      <c r="C848" t="s">
        <v>16</v>
      </c>
      <c r="D848">
        <v>134801</v>
      </c>
      <c r="E848">
        <v>47</v>
      </c>
      <c r="F848">
        <v>1</v>
      </c>
      <c r="G848">
        <v>49</v>
      </c>
      <c r="H848" t="s">
        <v>10</v>
      </c>
      <c r="I848">
        <v>292.92</v>
      </c>
      <c r="J848" s="1" t="str">
        <f t="shared" si="39"/>
        <v>valid</v>
      </c>
      <c r="K848" t="e">
        <f t="shared" ca="1" si="40"/>
        <v>#NAME?</v>
      </c>
      <c r="L848" t="str">
        <f>IF(E848&gt;=80,"High Value","Normal")</f>
        <v>Normal</v>
      </c>
      <c r="M848" s="2" t="b">
        <f t="shared" si="41"/>
        <v>0</v>
      </c>
      <c r="N848" t="str">
        <f>VLOOKUP(A848,A847:H1847,8)</f>
        <v>Groceries</v>
      </c>
    </row>
    <row r="849" spans="1:14" x14ac:dyDescent="0.35">
      <c r="A849">
        <v>848</v>
      </c>
      <c r="B849">
        <v>60</v>
      </c>
      <c r="C849" t="s">
        <v>13</v>
      </c>
      <c r="D849">
        <v>111784</v>
      </c>
      <c r="E849">
        <v>31</v>
      </c>
      <c r="F849">
        <v>1</v>
      </c>
      <c r="G849">
        <v>14</v>
      </c>
      <c r="H849" t="s">
        <v>12</v>
      </c>
      <c r="I849">
        <v>122.12</v>
      </c>
      <c r="J849" s="1" t="str">
        <f t="shared" si="39"/>
        <v>valid</v>
      </c>
      <c r="K849" t="e">
        <f t="shared" ca="1" si="40"/>
        <v>#NAME?</v>
      </c>
      <c r="L849" t="str">
        <f>IF(E849&gt;=80,"High Value","Normal")</f>
        <v>Normal</v>
      </c>
      <c r="M849" s="2" t="b">
        <f t="shared" si="41"/>
        <v>0</v>
      </c>
      <c r="N849" t="str">
        <f>VLOOKUP(A849,A848:H1848,8)</f>
        <v>Clothing</v>
      </c>
    </row>
    <row r="850" spans="1:14" x14ac:dyDescent="0.35">
      <c r="A850">
        <v>849</v>
      </c>
      <c r="B850">
        <v>56</v>
      </c>
      <c r="C850" t="s">
        <v>9</v>
      </c>
      <c r="D850">
        <v>86142</v>
      </c>
      <c r="E850">
        <v>87</v>
      </c>
      <c r="F850">
        <v>7</v>
      </c>
      <c r="G850">
        <v>8</v>
      </c>
      <c r="H850" t="s">
        <v>11</v>
      </c>
      <c r="I850">
        <v>291.95999999999998</v>
      </c>
      <c r="J850" s="1" t="str">
        <f t="shared" si="39"/>
        <v>valid</v>
      </c>
      <c r="K850" t="e">
        <f t="shared" ca="1" si="40"/>
        <v>#NAME?</v>
      </c>
      <c r="L850" t="str">
        <f>IF(E850&gt;=80,"High Value","Normal")</f>
        <v>High Value</v>
      </c>
      <c r="M850" s="2" t="b">
        <f t="shared" si="41"/>
        <v>0</v>
      </c>
      <c r="N850" t="str">
        <f>VLOOKUP(A850,A849:H1849,8)</f>
        <v>Sports</v>
      </c>
    </row>
    <row r="851" spans="1:14" x14ac:dyDescent="0.35">
      <c r="A851">
        <v>850</v>
      </c>
      <c r="B851">
        <v>48</v>
      </c>
      <c r="C851" t="s">
        <v>9</v>
      </c>
      <c r="D851">
        <v>126398</v>
      </c>
      <c r="E851">
        <v>19</v>
      </c>
      <c r="F851">
        <v>1</v>
      </c>
      <c r="G851">
        <v>18</v>
      </c>
      <c r="H851" t="s">
        <v>12</v>
      </c>
      <c r="I851">
        <v>311.08</v>
      </c>
      <c r="J851" s="1" t="str">
        <f t="shared" si="39"/>
        <v>valid</v>
      </c>
      <c r="K851" t="e">
        <f t="shared" ca="1" si="40"/>
        <v>#NAME?</v>
      </c>
      <c r="L851" t="str">
        <f>IF(E851&gt;=80,"High Value","Normal")</f>
        <v>Normal</v>
      </c>
      <c r="M851" s="2" t="b">
        <f t="shared" si="41"/>
        <v>0</v>
      </c>
      <c r="N851" t="str">
        <f>VLOOKUP(A851,A850:H1850,8)</f>
        <v>Clothing</v>
      </c>
    </row>
    <row r="852" spans="1:14" x14ac:dyDescent="0.35">
      <c r="A852">
        <v>851</v>
      </c>
      <c r="B852">
        <v>51</v>
      </c>
      <c r="C852" t="s">
        <v>13</v>
      </c>
      <c r="D852">
        <v>59566</v>
      </c>
      <c r="E852">
        <v>25</v>
      </c>
      <c r="F852">
        <v>5</v>
      </c>
      <c r="G852">
        <v>22</v>
      </c>
      <c r="H852" t="s">
        <v>10</v>
      </c>
      <c r="I852">
        <v>847.03</v>
      </c>
      <c r="J852" s="1" t="str">
        <f t="shared" si="39"/>
        <v>valid</v>
      </c>
      <c r="K852" t="e">
        <f t="shared" ca="1" si="40"/>
        <v>#NAME?</v>
      </c>
      <c r="L852" t="str">
        <f>IF(E852&gt;=80,"High Value","Normal")</f>
        <v>Normal</v>
      </c>
      <c r="M852" s="2" t="str">
        <f t="shared" si="41"/>
        <v>YES</v>
      </c>
      <c r="N852" t="str">
        <f>VLOOKUP(A852,A851:H1851,8)</f>
        <v>Groceries</v>
      </c>
    </row>
    <row r="853" spans="1:14" x14ac:dyDescent="0.35">
      <c r="A853">
        <v>852</v>
      </c>
      <c r="B853">
        <v>64</v>
      </c>
      <c r="C853" t="s">
        <v>9</v>
      </c>
      <c r="D853">
        <v>63123</v>
      </c>
      <c r="E853">
        <v>88</v>
      </c>
      <c r="F853">
        <v>1</v>
      </c>
      <c r="G853">
        <v>16</v>
      </c>
      <c r="H853" t="s">
        <v>10</v>
      </c>
      <c r="I853">
        <v>330.95</v>
      </c>
      <c r="J853" s="1" t="str">
        <f t="shared" si="39"/>
        <v>valid</v>
      </c>
      <c r="K853" t="e">
        <f t="shared" ca="1" si="40"/>
        <v>#NAME?</v>
      </c>
      <c r="L853" t="str">
        <f>IF(E853&gt;=80,"High Value","Normal")</f>
        <v>High Value</v>
      </c>
      <c r="M853" s="2" t="b">
        <f t="shared" si="41"/>
        <v>0</v>
      </c>
      <c r="N853" t="str">
        <f>VLOOKUP(A853,A852:H1852,8)</f>
        <v>Groceries</v>
      </c>
    </row>
    <row r="854" spans="1:14" x14ac:dyDescent="0.35">
      <c r="A854">
        <v>853</v>
      </c>
      <c r="B854">
        <v>22</v>
      </c>
      <c r="C854" t="s">
        <v>13</v>
      </c>
      <c r="D854">
        <v>120644</v>
      </c>
      <c r="E854">
        <v>75</v>
      </c>
      <c r="F854">
        <v>1</v>
      </c>
      <c r="G854">
        <v>4</v>
      </c>
      <c r="H854" t="s">
        <v>12</v>
      </c>
      <c r="I854">
        <v>456.11</v>
      </c>
      <c r="J854" s="1" t="str">
        <f t="shared" si="39"/>
        <v>valid</v>
      </c>
      <c r="K854" t="e">
        <f t="shared" ca="1" si="40"/>
        <v>#NAME?</v>
      </c>
      <c r="L854" t="str">
        <f>IF(E854&gt;=80,"High Value","Normal")</f>
        <v>Normal</v>
      </c>
      <c r="M854" s="2" t="b">
        <f t="shared" si="41"/>
        <v>0</v>
      </c>
      <c r="N854" t="str">
        <f>VLOOKUP(A854,A853:H1853,8)</f>
        <v>Clothing</v>
      </c>
    </row>
    <row r="855" spans="1:14" x14ac:dyDescent="0.35">
      <c r="A855">
        <v>854</v>
      </c>
      <c r="B855">
        <v>27</v>
      </c>
      <c r="C855" t="s">
        <v>9</v>
      </c>
      <c r="D855">
        <v>40595</v>
      </c>
      <c r="E855">
        <v>84</v>
      </c>
      <c r="F855">
        <v>6</v>
      </c>
      <c r="G855">
        <v>15</v>
      </c>
      <c r="H855" t="s">
        <v>10</v>
      </c>
      <c r="I855">
        <v>268.76</v>
      </c>
      <c r="J855" s="1" t="str">
        <f t="shared" si="39"/>
        <v>valid</v>
      </c>
      <c r="K855" t="e">
        <f t="shared" ca="1" si="40"/>
        <v>#NAME?</v>
      </c>
      <c r="L855" t="str">
        <f>IF(E855&gt;=80,"High Value","Normal")</f>
        <v>High Value</v>
      </c>
      <c r="M855" s="2" t="b">
        <f t="shared" si="41"/>
        <v>0</v>
      </c>
      <c r="N855" t="str">
        <f>VLOOKUP(A855,A854:H1854,8)</f>
        <v>Groceries</v>
      </c>
    </row>
    <row r="856" spans="1:14" x14ac:dyDescent="0.35">
      <c r="A856">
        <v>855</v>
      </c>
      <c r="B856">
        <v>18</v>
      </c>
      <c r="C856" t="s">
        <v>16</v>
      </c>
      <c r="D856">
        <v>30102</v>
      </c>
      <c r="E856">
        <v>35</v>
      </c>
      <c r="F856">
        <v>2</v>
      </c>
      <c r="G856">
        <v>6</v>
      </c>
      <c r="H856" t="s">
        <v>11</v>
      </c>
      <c r="I856">
        <v>739.27</v>
      </c>
      <c r="J856" s="1" t="str">
        <f t="shared" si="39"/>
        <v>valid</v>
      </c>
      <c r="K856" t="e">
        <f t="shared" ca="1" si="40"/>
        <v>#NAME?</v>
      </c>
      <c r="L856" t="str">
        <f>IF(E856&gt;=80,"High Value","Normal")</f>
        <v>Normal</v>
      </c>
      <c r="M856" s="2" t="b">
        <f t="shared" si="41"/>
        <v>0</v>
      </c>
      <c r="N856" t="str">
        <f>VLOOKUP(A856,A855:H1855,8)</f>
        <v>Sports</v>
      </c>
    </row>
    <row r="857" spans="1:14" x14ac:dyDescent="0.35">
      <c r="A857">
        <v>856</v>
      </c>
      <c r="B857">
        <v>45</v>
      </c>
      <c r="C857" t="s">
        <v>13</v>
      </c>
      <c r="D857">
        <v>135627</v>
      </c>
      <c r="E857">
        <v>67</v>
      </c>
      <c r="F857">
        <v>2</v>
      </c>
      <c r="G857">
        <v>46</v>
      </c>
      <c r="H857" t="s">
        <v>10</v>
      </c>
      <c r="I857">
        <v>524.16</v>
      </c>
      <c r="J857" s="1" t="str">
        <f t="shared" si="39"/>
        <v>valid</v>
      </c>
      <c r="K857" t="e">
        <f t="shared" ca="1" si="40"/>
        <v>#NAME?</v>
      </c>
      <c r="L857" t="str">
        <f>IF(E857&gt;=80,"High Value","Normal")</f>
        <v>Normal</v>
      </c>
      <c r="M857" s="2" t="str">
        <f t="shared" si="41"/>
        <v>YES</v>
      </c>
      <c r="N857" t="str">
        <f>VLOOKUP(A857,A856:H1856,8)</f>
        <v>Groceries</v>
      </c>
    </row>
    <row r="858" spans="1:14" x14ac:dyDescent="0.35">
      <c r="A858">
        <v>857</v>
      </c>
      <c r="B858">
        <v>19</v>
      </c>
      <c r="C858" t="s">
        <v>9</v>
      </c>
      <c r="D858">
        <v>90561</v>
      </c>
      <c r="E858">
        <v>75</v>
      </c>
      <c r="F858">
        <v>10</v>
      </c>
      <c r="G858">
        <v>23</v>
      </c>
      <c r="H858" t="s">
        <v>14</v>
      </c>
      <c r="I858">
        <v>866.23</v>
      </c>
      <c r="J858" s="1" t="str">
        <f t="shared" si="39"/>
        <v>valid</v>
      </c>
      <c r="K858" t="e">
        <f t="shared" ca="1" si="40"/>
        <v>#NAME?</v>
      </c>
      <c r="L858" t="str">
        <f>IF(E858&gt;=80,"High Value","Normal")</f>
        <v>Normal</v>
      </c>
      <c r="M858" s="2" t="b">
        <f t="shared" si="41"/>
        <v>0</v>
      </c>
      <c r="N858" t="str">
        <f>VLOOKUP(A858,A857:H1857,8)</f>
        <v>Home &amp; Garden</v>
      </c>
    </row>
    <row r="859" spans="1:14" x14ac:dyDescent="0.35">
      <c r="A859">
        <v>858</v>
      </c>
      <c r="B859">
        <v>67</v>
      </c>
      <c r="C859" t="s">
        <v>16</v>
      </c>
      <c r="D859">
        <v>115470</v>
      </c>
      <c r="E859">
        <v>56</v>
      </c>
      <c r="F859">
        <v>4</v>
      </c>
      <c r="G859">
        <v>6</v>
      </c>
      <c r="H859" t="s">
        <v>12</v>
      </c>
      <c r="I859">
        <v>151.74</v>
      </c>
      <c r="J859" s="1" t="str">
        <f t="shared" si="39"/>
        <v>valid</v>
      </c>
      <c r="K859" t="e">
        <f t="shared" ca="1" si="40"/>
        <v>#NAME?</v>
      </c>
      <c r="L859" t="str">
        <f>IF(E859&gt;=80,"High Value","Normal")</f>
        <v>Normal</v>
      </c>
      <c r="M859" s="2" t="b">
        <f t="shared" si="41"/>
        <v>0</v>
      </c>
      <c r="N859" t="str">
        <f>VLOOKUP(A859,A858:H1858,8)</f>
        <v>Clothing</v>
      </c>
    </row>
    <row r="860" spans="1:14" x14ac:dyDescent="0.35">
      <c r="A860">
        <v>859</v>
      </c>
      <c r="B860">
        <v>22</v>
      </c>
      <c r="C860" t="s">
        <v>16</v>
      </c>
      <c r="D860">
        <v>62752</v>
      </c>
      <c r="E860">
        <v>2</v>
      </c>
      <c r="F860">
        <v>10</v>
      </c>
      <c r="G860">
        <v>22</v>
      </c>
      <c r="H860" t="s">
        <v>15</v>
      </c>
      <c r="I860">
        <v>469.36</v>
      </c>
      <c r="J860" s="1" t="str">
        <f t="shared" si="39"/>
        <v>valid</v>
      </c>
      <c r="K860" t="e">
        <f t="shared" ca="1" si="40"/>
        <v>#NAME?</v>
      </c>
      <c r="L860" t="str">
        <f>IF(E860&gt;=80,"High Value","Normal")</f>
        <v>Normal</v>
      </c>
      <c r="M860" s="2" t="b">
        <f t="shared" si="41"/>
        <v>0</v>
      </c>
      <c r="N860" t="str">
        <f>VLOOKUP(A860,A859:H1859,8)</f>
        <v>Electronics</v>
      </c>
    </row>
    <row r="861" spans="1:14" x14ac:dyDescent="0.35">
      <c r="A861">
        <v>860</v>
      </c>
      <c r="B861">
        <v>22</v>
      </c>
      <c r="C861" t="s">
        <v>16</v>
      </c>
      <c r="D861">
        <v>46866</v>
      </c>
      <c r="E861">
        <v>3</v>
      </c>
      <c r="F861">
        <v>7</v>
      </c>
      <c r="G861">
        <v>46</v>
      </c>
      <c r="H861" t="s">
        <v>15</v>
      </c>
      <c r="I861">
        <v>737.44</v>
      </c>
      <c r="J861" s="1" t="str">
        <f t="shared" si="39"/>
        <v>valid</v>
      </c>
      <c r="K861" t="e">
        <f t="shared" ca="1" si="40"/>
        <v>#NAME?</v>
      </c>
      <c r="L861" t="str">
        <f>IF(E861&gt;=80,"High Value","Normal")</f>
        <v>Normal</v>
      </c>
      <c r="M861" s="2" t="b">
        <f t="shared" si="41"/>
        <v>0</v>
      </c>
      <c r="N861" t="str">
        <f>VLOOKUP(A861,A860:H1860,8)</f>
        <v>Electronics</v>
      </c>
    </row>
    <row r="862" spans="1:14" x14ac:dyDescent="0.35">
      <c r="A862">
        <v>861</v>
      </c>
      <c r="B862">
        <v>21</v>
      </c>
      <c r="C862" t="s">
        <v>13</v>
      </c>
      <c r="D862">
        <v>145884</v>
      </c>
      <c r="E862">
        <v>3</v>
      </c>
      <c r="F862">
        <v>4</v>
      </c>
      <c r="G862">
        <v>25</v>
      </c>
      <c r="H862" t="s">
        <v>14</v>
      </c>
      <c r="I862">
        <v>676.93</v>
      </c>
      <c r="J862" s="1" t="str">
        <f t="shared" si="39"/>
        <v>valid</v>
      </c>
      <c r="K862" t="e">
        <f t="shared" ca="1" si="40"/>
        <v>#NAME?</v>
      </c>
      <c r="L862" t="str">
        <f>IF(E862&gt;=80,"High Value","Normal")</f>
        <v>Normal</v>
      </c>
      <c r="M862" s="2" t="b">
        <f t="shared" si="41"/>
        <v>0</v>
      </c>
      <c r="N862" t="str">
        <f>VLOOKUP(A862,A861:H1861,8)</f>
        <v>Home &amp; Garden</v>
      </c>
    </row>
    <row r="863" spans="1:14" x14ac:dyDescent="0.35">
      <c r="A863">
        <v>862</v>
      </c>
      <c r="B863">
        <v>20</v>
      </c>
      <c r="C863" t="s">
        <v>16</v>
      </c>
      <c r="D863">
        <v>79899</v>
      </c>
      <c r="E863">
        <v>64</v>
      </c>
      <c r="F863">
        <v>7</v>
      </c>
      <c r="G863">
        <v>46</v>
      </c>
      <c r="H863" t="s">
        <v>12</v>
      </c>
      <c r="I863">
        <v>129.9</v>
      </c>
      <c r="J863" s="1" t="str">
        <f t="shared" si="39"/>
        <v>valid</v>
      </c>
      <c r="K863" t="e">
        <f t="shared" ca="1" si="40"/>
        <v>#NAME?</v>
      </c>
      <c r="L863" t="str">
        <f>IF(E863&gt;=80,"High Value","Normal")</f>
        <v>Normal</v>
      </c>
      <c r="M863" s="2" t="b">
        <f t="shared" si="41"/>
        <v>0</v>
      </c>
      <c r="N863" t="str">
        <f>VLOOKUP(A863,A862:H1862,8)</f>
        <v>Clothing</v>
      </c>
    </row>
    <row r="864" spans="1:14" x14ac:dyDescent="0.35">
      <c r="A864">
        <v>863</v>
      </c>
      <c r="B864">
        <v>42</v>
      </c>
      <c r="C864" t="s">
        <v>13</v>
      </c>
      <c r="D864">
        <v>77292</v>
      </c>
      <c r="E864">
        <v>73</v>
      </c>
      <c r="F864">
        <v>10</v>
      </c>
      <c r="G864">
        <v>43</v>
      </c>
      <c r="H864" t="s">
        <v>10</v>
      </c>
      <c r="I864">
        <v>787.66</v>
      </c>
      <c r="J864" s="1" t="str">
        <f t="shared" si="39"/>
        <v>valid</v>
      </c>
      <c r="K864" t="e">
        <f t="shared" ca="1" si="40"/>
        <v>#NAME?</v>
      </c>
      <c r="L864" t="str">
        <f>IF(E864&gt;=80,"High Value","Normal")</f>
        <v>Normal</v>
      </c>
      <c r="M864" s="2" t="str">
        <f t="shared" si="41"/>
        <v>YES</v>
      </c>
      <c r="N864" t="str">
        <f>VLOOKUP(A864,A863:H1863,8)</f>
        <v>Groceries</v>
      </c>
    </row>
    <row r="865" spans="1:14" x14ac:dyDescent="0.35">
      <c r="A865">
        <v>864</v>
      </c>
      <c r="B865">
        <v>41</v>
      </c>
      <c r="C865" t="s">
        <v>16</v>
      </c>
      <c r="D865">
        <v>92371</v>
      </c>
      <c r="E865">
        <v>28</v>
      </c>
      <c r="F865">
        <v>10</v>
      </c>
      <c r="G865">
        <v>48</v>
      </c>
      <c r="H865" t="s">
        <v>15</v>
      </c>
      <c r="I865">
        <v>594.96</v>
      </c>
      <c r="J865" s="1" t="str">
        <f t="shared" si="39"/>
        <v>valid</v>
      </c>
      <c r="K865" t="e">
        <f t="shared" ca="1" si="40"/>
        <v>#NAME?</v>
      </c>
      <c r="L865" t="str">
        <f>IF(E865&gt;=80,"High Value","Normal")</f>
        <v>Normal</v>
      </c>
      <c r="M865" s="2" t="str">
        <f t="shared" si="41"/>
        <v>YES</v>
      </c>
      <c r="N865" t="str">
        <f>VLOOKUP(A865,A864:H1864,8)</f>
        <v>Electronics</v>
      </c>
    </row>
    <row r="866" spans="1:14" x14ac:dyDescent="0.35">
      <c r="A866">
        <v>865</v>
      </c>
      <c r="B866">
        <v>57</v>
      </c>
      <c r="C866" t="s">
        <v>13</v>
      </c>
      <c r="D866">
        <v>106632</v>
      </c>
      <c r="E866">
        <v>26</v>
      </c>
      <c r="F866">
        <v>1</v>
      </c>
      <c r="G866">
        <v>17</v>
      </c>
      <c r="H866" t="s">
        <v>10</v>
      </c>
      <c r="I866">
        <v>610.98</v>
      </c>
      <c r="J866" s="1" t="str">
        <f t="shared" si="39"/>
        <v>valid</v>
      </c>
      <c r="K866" t="e">
        <f t="shared" ca="1" si="40"/>
        <v>#NAME?</v>
      </c>
      <c r="L866" t="str">
        <f>IF(E866&gt;=80,"High Value","Normal")</f>
        <v>Normal</v>
      </c>
      <c r="M866" s="2" t="b">
        <f t="shared" si="41"/>
        <v>0</v>
      </c>
      <c r="N866" t="str">
        <f>VLOOKUP(A866,A865:H1865,8)</f>
        <v>Groceries</v>
      </c>
    </row>
    <row r="867" spans="1:14" x14ac:dyDescent="0.35">
      <c r="A867">
        <v>866</v>
      </c>
      <c r="B867">
        <v>22</v>
      </c>
      <c r="C867" t="s">
        <v>16</v>
      </c>
      <c r="D867">
        <v>48068</v>
      </c>
      <c r="E867">
        <v>57</v>
      </c>
      <c r="F867">
        <v>2</v>
      </c>
      <c r="G867">
        <v>24</v>
      </c>
      <c r="H867" t="s">
        <v>15</v>
      </c>
      <c r="I867">
        <v>683.02</v>
      </c>
      <c r="J867" s="1" t="str">
        <f t="shared" si="39"/>
        <v>valid</v>
      </c>
      <c r="K867" t="e">
        <f t="shared" ca="1" si="40"/>
        <v>#NAME?</v>
      </c>
      <c r="L867" t="str">
        <f>IF(E867&gt;=80,"High Value","Normal")</f>
        <v>Normal</v>
      </c>
      <c r="M867" s="2" t="b">
        <f t="shared" si="41"/>
        <v>0</v>
      </c>
      <c r="N867" t="str">
        <f>VLOOKUP(A867,A866:H1866,8)</f>
        <v>Electronics</v>
      </c>
    </row>
    <row r="868" spans="1:14" x14ac:dyDescent="0.35">
      <c r="A868">
        <v>867</v>
      </c>
      <c r="B868">
        <v>68</v>
      </c>
      <c r="C868" t="s">
        <v>13</v>
      </c>
      <c r="D868">
        <v>35122</v>
      </c>
      <c r="E868">
        <v>72</v>
      </c>
      <c r="F868">
        <v>6</v>
      </c>
      <c r="G868">
        <v>33</v>
      </c>
      <c r="H868" t="s">
        <v>11</v>
      </c>
      <c r="I868">
        <v>983.84</v>
      </c>
      <c r="J868" s="1" t="str">
        <f t="shared" si="39"/>
        <v>valid</v>
      </c>
      <c r="K868" t="e">
        <f t="shared" ca="1" si="40"/>
        <v>#NAME?</v>
      </c>
      <c r="L868" t="str">
        <f>IF(E868&gt;=80,"High Value","Normal")</f>
        <v>Normal</v>
      </c>
      <c r="M868" s="2" t="str">
        <f t="shared" si="41"/>
        <v>YES</v>
      </c>
      <c r="N868" t="str">
        <f>VLOOKUP(A868,A867:H1867,8)</f>
        <v>Sports</v>
      </c>
    </row>
    <row r="869" spans="1:14" x14ac:dyDescent="0.35">
      <c r="A869">
        <v>868</v>
      </c>
      <c r="B869">
        <v>51</v>
      </c>
      <c r="C869" t="s">
        <v>13</v>
      </c>
      <c r="D869">
        <v>83467</v>
      </c>
      <c r="E869">
        <v>83</v>
      </c>
      <c r="F869">
        <v>1</v>
      </c>
      <c r="G869">
        <v>19</v>
      </c>
      <c r="H869" t="s">
        <v>12</v>
      </c>
      <c r="I869">
        <v>30.88</v>
      </c>
      <c r="J869" s="1" t="str">
        <f t="shared" si="39"/>
        <v>valid</v>
      </c>
      <c r="K869" t="e">
        <f t="shared" ca="1" si="40"/>
        <v>#NAME?</v>
      </c>
      <c r="L869" t="str">
        <f>IF(E869&gt;=80,"High Value","Normal")</f>
        <v>High Value</v>
      </c>
      <c r="M869" s="2" t="b">
        <f t="shared" si="41"/>
        <v>0</v>
      </c>
      <c r="N869" t="str">
        <f>VLOOKUP(A869,A868:H1868,8)</f>
        <v>Clothing</v>
      </c>
    </row>
    <row r="870" spans="1:14" x14ac:dyDescent="0.35">
      <c r="A870">
        <v>869</v>
      </c>
      <c r="B870">
        <v>49</v>
      </c>
      <c r="C870" t="s">
        <v>9</v>
      </c>
      <c r="D870">
        <v>61376</v>
      </c>
      <c r="E870">
        <v>47</v>
      </c>
      <c r="F870">
        <v>5</v>
      </c>
      <c r="G870">
        <v>16</v>
      </c>
      <c r="H870" t="s">
        <v>14</v>
      </c>
      <c r="I870">
        <v>241.25</v>
      </c>
      <c r="J870" s="1" t="str">
        <f t="shared" si="39"/>
        <v>valid</v>
      </c>
      <c r="K870" t="e">
        <f t="shared" ca="1" si="40"/>
        <v>#NAME?</v>
      </c>
      <c r="L870" t="str">
        <f>IF(E870&gt;=80,"High Value","Normal")</f>
        <v>Normal</v>
      </c>
      <c r="M870" s="2" t="b">
        <f t="shared" si="41"/>
        <v>0</v>
      </c>
      <c r="N870" t="str">
        <f>VLOOKUP(A870,A869:H1869,8)</f>
        <v>Home &amp; Garden</v>
      </c>
    </row>
    <row r="871" spans="1:14" x14ac:dyDescent="0.35">
      <c r="A871">
        <v>870</v>
      </c>
      <c r="B871">
        <v>57</v>
      </c>
      <c r="C871" t="s">
        <v>13</v>
      </c>
      <c r="D871">
        <v>112212</v>
      </c>
      <c r="E871">
        <v>6</v>
      </c>
      <c r="F871">
        <v>6</v>
      </c>
      <c r="G871">
        <v>44</v>
      </c>
      <c r="H871" t="s">
        <v>14</v>
      </c>
      <c r="I871">
        <v>312.64</v>
      </c>
      <c r="J871" s="1" t="str">
        <f t="shared" si="39"/>
        <v>valid</v>
      </c>
      <c r="K871" t="e">
        <f t="shared" ca="1" si="40"/>
        <v>#NAME?</v>
      </c>
      <c r="L871" t="str">
        <f>IF(E871&gt;=80,"High Value","Normal")</f>
        <v>Normal</v>
      </c>
      <c r="M871" s="2" t="str">
        <f t="shared" si="41"/>
        <v>YES</v>
      </c>
      <c r="N871" t="str">
        <f>VLOOKUP(A871,A870:H1870,8)</f>
        <v>Home &amp; Garden</v>
      </c>
    </row>
    <row r="872" spans="1:14" x14ac:dyDescent="0.35">
      <c r="A872">
        <v>871</v>
      </c>
      <c r="B872">
        <v>57</v>
      </c>
      <c r="C872" t="s">
        <v>9</v>
      </c>
      <c r="D872">
        <v>128481</v>
      </c>
      <c r="E872">
        <v>86</v>
      </c>
      <c r="F872">
        <v>10</v>
      </c>
      <c r="G872">
        <v>40</v>
      </c>
      <c r="H872" t="s">
        <v>14</v>
      </c>
      <c r="I872">
        <v>727.15</v>
      </c>
      <c r="J872" s="1" t="str">
        <f t="shared" si="39"/>
        <v>valid</v>
      </c>
      <c r="K872" t="e">
        <f t="shared" ca="1" si="40"/>
        <v>#NAME?</v>
      </c>
      <c r="L872" t="str">
        <f>IF(E872&gt;=80,"High Value","Normal")</f>
        <v>High Value</v>
      </c>
      <c r="M872" s="2" t="str">
        <f t="shared" si="41"/>
        <v>YES</v>
      </c>
      <c r="N872" t="str">
        <f>VLOOKUP(A872,A871:H1871,8)</f>
        <v>Home &amp; Garden</v>
      </c>
    </row>
    <row r="873" spans="1:14" x14ac:dyDescent="0.35">
      <c r="A873">
        <v>872</v>
      </c>
      <c r="B873">
        <v>63</v>
      </c>
      <c r="C873" t="s">
        <v>16</v>
      </c>
      <c r="D873">
        <v>33546</v>
      </c>
      <c r="E873">
        <v>18</v>
      </c>
      <c r="F873">
        <v>9</v>
      </c>
      <c r="G873">
        <v>31</v>
      </c>
      <c r="H873" t="s">
        <v>11</v>
      </c>
      <c r="I873">
        <v>191.8</v>
      </c>
      <c r="J873" s="1" t="str">
        <f t="shared" si="39"/>
        <v>valid</v>
      </c>
      <c r="K873" t="e">
        <f t="shared" ca="1" si="40"/>
        <v>#NAME?</v>
      </c>
      <c r="L873" t="str">
        <f>IF(E873&gt;=80,"High Value","Normal")</f>
        <v>Normal</v>
      </c>
      <c r="M873" s="2" t="str">
        <f t="shared" si="41"/>
        <v>YES</v>
      </c>
      <c r="N873" t="str">
        <f>VLOOKUP(A873,A872:H1872,8)</f>
        <v>Sports</v>
      </c>
    </row>
    <row r="874" spans="1:14" x14ac:dyDescent="0.35">
      <c r="A874">
        <v>873</v>
      </c>
      <c r="B874">
        <v>42</v>
      </c>
      <c r="C874" t="s">
        <v>9</v>
      </c>
      <c r="D874">
        <v>127546</v>
      </c>
      <c r="E874">
        <v>54</v>
      </c>
      <c r="F874">
        <v>1</v>
      </c>
      <c r="G874">
        <v>31</v>
      </c>
      <c r="H874" t="s">
        <v>12</v>
      </c>
      <c r="I874">
        <v>484.72</v>
      </c>
      <c r="J874" s="1" t="str">
        <f t="shared" si="39"/>
        <v>valid</v>
      </c>
      <c r="K874" t="e">
        <f t="shared" ca="1" si="40"/>
        <v>#NAME?</v>
      </c>
      <c r="L874" t="str">
        <f>IF(E874&gt;=80,"High Value","Normal")</f>
        <v>Normal</v>
      </c>
      <c r="M874" s="2" t="str">
        <f t="shared" si="41"/>
        <v>YES</v>
      </c>
      <c r="N874" t="str">
        <f>VLOOKUP(A874,A873:H1873,8)</f>
        <v>Clothing</v>
      </c>
    </row>
    <row r="875" spans="1:14" x14ac:dyDescent="0.35">
      <c r="A875">
        <v>874</v>
      </c>
      <c r="B875">
        <v>35</v>
      </c>
      <c r="C875" t="s">
        <v>16</v>
      </c>
      <c r="D875">
        <v>121037</v>
      </c>
      <c r="E875">
        <v>70</v>
      </c>
      <c r="F875">
        <v>1</v>
      </c>
      <c r="G875">
        <v>28</v>
      </c>
      <c r="H875" t="s">
        <v>10</v>
      </c>
      <c r="I875">
        <v>304.08</v>
      </c>
      <c r="J875" s="1" t="str">
        <f t="shared" si="39"/>
        <v>valid</v>
      </c>
      <c r="K875" t="e">
        <f t="shared" ca="1" si="40"/>
        <v>#NAME?</v>
      </c>
      <c r="L875" t="str">
        <f>IF(E875&gt;=80,"High Value","Normal")</f>
        <v>Normal</v>
      </c>
      <c r="M875" s="2" t="str">
        <f t="shared" si="41"/>
        <v>YES</v>
      </c>
      <c r="N875" t="str">
        <f>VLOOKUP(A875,A874:H1874,8)</f>
        <v>Groceries</v>
      </c>
    </row>
    <row r="876" spans="1:14" x14ac:dyDescent="0.35">
      <c r="A876">
        <v>875</v>
      </c>
      <c r="B876">
        <v>25</v>
      </c>
      <c r="C876" t="s">
        <v>9</v>
      </c>
      <c r="D876">
        <v>76606</v>
      </c>
      <c r="E876">
        <v>99</v>
      </c>
      <c r="F876">
        <v>10</v>
      </c>
      <c r="G876">
        <v>32</v>
      </c>
      <c r="H876" t="s">
        <v>14</v>
      </c>
      <c r="I876">
        <v>472.4</v>
      </c>
      <c r="J876" s="1" t="str">
        <f t="shared" si="39"/>
        <v>valid</v>
      </c>
      <c r="K876" t="e">
        <f t="shared" ca="1" si="40"/>
        <v>#NAME?</v>
      </c>
      <c r="L876" t="str">
        <f>IF(E876&gt;=80,"High Value","Normal")</f>
        <v>High Value</v>
      </c>
      <c r="M876" s="2" t="b">
        <f t="shared" si="41"/>
        <v>0</v>
      </c>
      <c r="N876" t="str">
        <f>VLOOKUP(A876,A875:H1875,8)</f>
        <v>Home &amp; Garden</v>
      </c>
    </row>
    <row r="877" spans="1:14" x14ac:dyDescent="0.35">
      <c r="A877">
        <v>876</v>
      </c>
      <c r="B877">
        <v>60</v>
      </c>
      <c r="C877" t="s">
        <v>13</v>
      </c>
      <c r="D877">
        <v>120195</v>
      </c>
      <c r="E877">
        <v>68</v>
      </c>
      <c r="F877">
        <v>9</v>
      </c>
      <c r="G877">
        <v>26</v>
      </c>
      <c r="H877" t="s">
        <v>11</v>
      </c>
      <c r="I877">
        <v>600.21</v>
      </c>
      <c r="J877" s="1" t="str">
        <f t="shared" si="39"/>
        <v>valid</v>
      </c>
      <c r="K877" t="e">
        <f t="shared" ca="1" si="40"/>
        <v>#NAME?</v>
      </c>
      <c r="L877" t="str">
        <f>IF(E877&gt;=80,"High Value","Normal")</f>
        <v>Normal</v>
      </c>
      <c r="M877" s="2" t="str">
        <f t="shared" si="41"/>
        <v>YES</v>
      </c>
      <c r="N877" t="str">
        <f>VLOOKUP(A877,A876:H1876,8)</f>
        <v>Sports</v>
      </c>
    </row>
    <row r="878" spans="1:14" x14ac:dyDescent="0.35">
      <c r="A878">
        <v>877</v>
      </c>
      <c r="B878">
        <v>51</v>
      </c>
      <c r="C878" t="s">
        <v>9</v>
      </c>
      <c r="D878">
        <v>127950</v>
      </c>
      <c r="E878">
        <v>27</v>
      </c>
      <c r="F878">
        <v>3</v>
      </c>
      <c r="G878">
        <v>45</v>
      </c>
      <c r="H878" t="s">
        <v>14</v>
      </c>
      <c r="I878">
        <v>412.76</v>
      </c>
      <c r="J878" s="1" t="str">
        <f t="shared" si="39"/>
        <v>valid</v>
      </c>
      <c r="K878" t="e">
        <f t="shared" ca="1" si="40"/>
        <v>#NAME?</v>
      </c>
      <c r="L878" t="str">
        <f>IF(E878&gt;=80,"High Value","Normal")</f>
        <v>Normal</v>
      </c>
      <c r="M878" s="2" t="str">
        <f t="shared" si="41"/>
        <v>YES</v>
      </c>
      <c r="N878" t="str">
        <f>VLOOKUP(A878,A877:H1877,8)</f>
        <v>Home &amp; Garden</v>
      </c>
    </row>
    <row r="879" spans="1:14" x14ac:dyDescent="0.35">
      <c r="A879">
        <v>878</v>
      </c>
      <c r="B879">
        <v>45</v>
      </c>
      <c r="C879" t="s">
        <v>9</v>
      </c>
      <c r="D879">
        <v>51646</v>
      </c>
      <c r="E879">
        <v>61</v>
      </c>
      <c r="F879">
        <v>5</v>
      </c>
      <c r="G879">
        <v>41</v>
      </c>
      <c r="H879" t="s">
        <v>14</v>
      </c>
      <c r="I879">
        <v>246.41</v>
      </c>
      <c r="J879" s="1" t="str">
        <f t="shared" si="39"/>
        <v>valid</v>
      </c>
      <c r="K879" t="e">
        <f t="shared" ca="1" si="40"/>
        <v>#NAME?</v>
      </c>
      <c r="L879" t="str">
        <f>IF(E879&gt;=80,"High Value","Normal")</f>
        <v>Normal</v>
      </c>
      <c r="M879" s="2" t="str">
        <f t="shared" si="41"/>
        <v>YES</v>
      </c>
      <c r="N879" t="str">
        <f>VLOOKUP(A879,A878:H1878,8)</f>
        <v>Home &amp; Garden</v>
      </c>
    </row>
    <row r="880" spans="1:14" x14ac:dyDescent="0.35">
      <c r="A880">
        <v>879</v>
      </c>
      <c r="B880">
        <v>51</v>
      </c>
      <c r="C880" t="s">
        <v>16</v>
      </c>
      <c r="D880">
        <v>80995</v>
      </c>
      <c r="E880">
        <v>68</v>
      </c>
      <c r="F880">
        <v>1</v>
      </c>
      <c r="G880">
        <v>18</v>
      </c>
      <c r="H880" t="s">
        <v>11</v>
      </c>
      <c r="I880">
        <v>863.54</v>
      </c>
      <c r="J880" s="1" t="str">
        <f t="shared" si="39"/>
        <v>valid</v>
      </c>
      <c r="K880" t="e">
        <f t="shared" ca="1" si="40"/>
        <v>#NAME?</v>
      </c>
      <c r="L880" t="str">
        <f>IF(E880&gt;=80,"High Value","Normal")</f>
        <v>Normal</v>
      </c>
      <c r="M880" s="2" t="b">
        <f t="shared" si="41"/>
        <v>0</v>
      </c>
      <c r="N880" t="str">
        <f>VLOOKUP(A880,A879:H1879,8)</f>
        <v>Sports</v>
      </c>
    </row>
    <row r="881" spans="1:14" x14ac:dyDescent="0.35">
      <c r="A881">
        <v>880</v>
      </c>
      <c r="B881">
        <v>59</v>
      </c>
      <c r="C881" t="s">
        <v>13</v>
      </c>
      <c r="D881">
        <v>97355</v>
      </c>
      <c r="E881">
        <v>63</v>
      </c>
      <c r="F881">
        <v>2</v>
      </c>
      <c r="G881">
        <v>22</v>
      </c>
      <c r="H881" t="s">
        <v>10</v>
      </c>
      <c r="I881">
        <v>329.18</v>
      </c>
      <c r="J881" s="1" t="str">
        <f t="shared" si="39"/>
        <v>valid</v>
      </c>
      <c r="K881" t="e">
        <f t="shared" ca="1" si="40"/>
        <v>#NAME?</v>
      </c>
      <c r="L881" t="str">
        <f>IF(E881&gt;=80,"High Value","Normal")</f>
        <v>Normal</v>
      </c>
      <c r="M881" s="2" t="str">
        <f t="shared" si="41"/>
        <v>YES</v>
      </c>
      <c r="N881" t="str">
        <f>VLOOKUP(A881,A880:H1880,8)</f>
        <v>Groceries</v>
      </c>
    </row>
    <row r="882" spans="1:14" x14ac:dyDescent="0.35">
      <c r="A882">
        <v>881</v>
      </c>
      <c r="B882">
        <v>47</v>
      </c>
      <c r="C882" t="s">
        <v>9</v>
      </c>
      <c r="D882">
        <v>133264</v>
      </c>
      <c r="E882">
        <v>93</v>
      </c>
      <c r="F882">
        <v>2</v>
      </c>
      <c r="G882">
        <v>21</v>
      </c>
      <c r="H882" t="s">
        <v>10</v>
      </c>
      <c r="I882">
        <v>11.01</v>
      </c>
      <c r="J882" s="1" t="str">
        <f t="shared" si="39"/>
        <v>valid</v>
      </c>
      <c r="K882" t="e">
        <f t="shared" ca="1" si="40"/>
        <v>#NAME?</v>
      </c>
      <c r="L882" t="str">
        <f>IF(E882&gt;=80,"High Value","Normal")</f>
        <v>High Value</v>
      </c>
      <c r="M882" s="2" t="str">
        <f t="shared" si="41"/>
        <v>YES</v>
      </c>
      <c r="N882" t="str">
        <f>VLOOKUP(A882,A881:H1881,8)</f>
        <v>Groceries</v>
      </c>
    </row>
    <row r="883" spans="1:14" x14ac:dyDescent="0.35">
      <c r="A883">
        <v>882</v>
      </c>
      <c r="B883">
        <v>61</v>
      </c>
      <c r="C883" t="s">
        <v>16</v>
      </c>
      <c r="D883">
        <v>49557</v>
      </c>
      <c r="E883">
        <v>22</v>
      </c>
      <c r="F883">
        <v>6</v>
      </c>
      <c r="G883">
        <v>12</v>
      </c>
      <c r="H883" t="s">
        <v>12</v>
      </c>
      <c r="I883">
        <v>678.13</v>
      </c>
      <c r="J883" s="1" t="str">
        <f t="shared" si="39"/>
        <v>valid</v>
      </c>
      <c r="K883" t="e">
        <f t="shared" ca="1" si="40"/>
        <v>#NAME?</v>
      </c>
      <c r="L883" t="str">
        <f>IF(E883&gt;=80,"High Value","Normal")</f>
        <v>Normal</v>
      </c>
      <c r="M883" s="2" t="b">
        <f t="shared" si="41"/>
        <v>0</v>
      </c>
      <c r="N883" t="str">
        <f>VLOOKUP(A883,A882:H1882,8)</f>
        <v>Clothing</v>
      </c>
    </row>
    <row r="884" spans="1:14" x14ac:dyDescent="0.35">
      <c r="A884">
        <v>883</v>
      </c>
      <c r="B884">
        <v>62</v>
      </c>
      <c r="C884" t="s">
        <v>13</v>
      </c>
      <c r="D884">
        <v>97909</v>
      </c>
      <c r="E884">
        <v>100</v>
      </c>
      <c r="F884">
        <v>1</v>
      </c>
      <c r="G884">
        <v>5</v>
      </c>
      <c r="H884" t="s">
        <v>14</v>
      </c>
      <c r="I884">
        <v>439.63</v>
      </c>
      <c r="J884" s="1" t="str">
        <f t="shared" si="39"/>
        <v>valid</v>
      </c>
      <c r="K884" t="e">
        <f t="shared" ca="1" si="40"/>
        <v>#NAME?</v>
      </c>
      <c r="L884" t="str">
        <f>IF(E884&gt;=80,"High Value","Normal")</f>
        <v>High Value</v>
      </c>
      <c r="M884" s="2" t="b">
        <f t="shared" si="41"/>
        <v>0</v>
      </c>
      <c r="N884" t="str">
        <f>VLOOKUP(A884,A883:H1883,8)</f>
        <v>Home &amp; Garden</v>
      </c>
    </row>
    <row r="885" spans="1:14" x14ac:dyDescent="0.35">
      <c r="A885">
        <v>884</v>
      </c>
      <c r="B885">
        <v>50</v>
      </c>
      <c r="C885" t="s">
        <v>9</v>
      </c>
      <c r="D885">
        <v>59695</v>
      </c>
      <c r="E885">
        <v>70</v>
      </c>
      <c r="F885">
        <v>5</v>
      </c>
      <c r="G885">
        <v>6</v>
      </c>
      <c r="H885" t="s">
        <v>12</v>
      </c>
      <c r="I885">
        <v>241.99</v>
      </c>
      <c r="J885" s="1" t="str">
        <f t="shared" si="39"/>
        <v>valid</v>
      </c>
      <c r="K885" t="e">
        <f t="shared" ca="1" si="40"/>
        <v>#NAME?</v>
      </c>
      <c r="L885" t="str">
        <f>IF(E885&gt;=80,"High Value","Normal")</f>
        <v>Normal</v>
      </c>
      <c r="M885" s="2" t="b">
        <f t="shared" si="41"/>
        <v>0</v>
      </c>
      <c r="N885" t="str">
        <f>VLOOKUP(A885,A884:H1884,8)</f>
        <v>Clothing</v>
      </c>
    </row>
    <row r="886" spans="1:14" x14ac:dyDescent="0.35">
      <c r="A886">
        <v>885</v>
      </c>
      <c r="B886">
        <v>58</v>
      </c>
      <c r="C886" t="s">
        <v>13</v>
      </c>
      <c r="D886">
        <v>149723</v>
      </c>
      <c r="E886">
        <v>70</v>
      </c>
      <c r="F886">
        <v>9</v>
      </c>
      <c r="G886">
        <v>23</v>
      </c>
      <c r="H886" t="s">
        <v>15</v>
      </c>
      <c r="I886">
        <v>374.59</v>
      </c>
      <c r="J886" s="1" t="str">
        <f t="shared" si="39"/>
        <v>valid</v>
      </c>
      <c r="K886" t="e">
        <f t="shared" ca="1" si="40"/>
        <v>#NAME?</v>
      </c>
      <c r="L886" t="str">
        <f>IF(E886&gt;=80,"High Value","Normal")</f>
        <v>Normal</v>
      </c>
      <c r="M886" s="2" t="str">
        <f t="shared" si="41"/>
        <v>YES</v>
      </c>
      <c r="N886" t="str">
        <f>VLOOKUP(A886,A885:H1885,8)</f>
        <v>Electronics</v>
      </c>
    </row>
    <row r="887" spans="1:14" x14ac:dyDescent="0.35">
      <c r="A887">
        <v>886</v>
      </c>
      <c r="B887">
        <v>26</v>
      </c>
      <c r="C887" t="s">
        <v>13</v>
      </c>
      <c r="D887">
        <v>113532</v>
      </c>
      <c r="E887">
        <v>70</v>
      </c>
      <c r="F887">
        <v>7</v>
      </c>
      <c r="G887">
        <v>28</v>
      </c>
      <c r="H887" t="s">
        <v>11</v>
      </c>
      <c r="I887">
        <v>679.69</v>
      </c>
      <c r="J887" s="1" t="str">
        <f t="shared" si="39"/>
        <v>valid</v>
      </c>
      <c r="K887" t="e">
        <f t="shared" ca="1" si="40"/>
        <v>#NAME?</v>
      </c>
      <c r="L887" t="str">
        <f>IF(E887&gt;=80,"High Value","Normal")</f>
        <v>Normal</v>
      </c>
      <c r="M887" s="2" t="b">
        <f t="shared" si="41"/>
        <v>0</v>
      </c>
      <c r="N887" t="str">
        <f>VLOOKUP(A887,A886:H1886,8)</f>
        <v>Sports</v>
      </c>
    </row>
    <row r="888" spans="1:14" x14ac:dyDescent="0.35">
      <c r="A888">
        <v>887</v>
      </c>
      <c r="B888">
        <v>60</v>
      </c>
      <c r="C888" t="s">
        <v>16</v>
      </c>
      <c r="D888">
        <v>98882</v>
      </c>
      <c r="E888">
        <v>38</v>
      </c>
      <c r="F888">
        <v>2</v>
      </c>
      <c r="G888">
        <v>28</v>
      </c>
      <c r="H888" t="s">
        <v>10</v>
      </c>
      <c r="I888">
        <v>940.14</v>
      </c>
      <c r="J888" s="1" t="str">
        <f t="shared" si="39"/>
        <v>valid</v>
      </c>
      <c r="K888" t="e">
        <f t="shared" ca="1" si="40"/>
        <v>#NAME?</v>
      </c>
      <c r="L888" t="str">
        <f>IF(E888&gt;=80,"High Value","Normal")</f>
        <v>Normal</v>
      </c>
      <c r="M888" s="2" t="str">
        <f t="shared" si="41"/>
        <v>YES</v>
      </c>
      <c r="N888" t="str">
        <f>VLOOKUP(A888,A887:H1887,8)</f>
        <v>Groceries</v>
      </c>
    </row>
    <row r="889" spans="1:14" x14ac:dyDescent="0.35">
      <c r="A889">
        <v>888</v>
      </c>
      <c r="B889">
        <v>29</v>
      </c>
      <c r="C889" t="s">
        <v>16</v>
      </c>
      <c r="D889">
        <v>149973</v>
      </c>
      <c r="E889">
        <v>2</v>
      </c>
      <c r="F889">
        <v>2</v>
      </c>
      <c r="G889">
        <v>19</v>
      </c>
      <c r="H889" t="s">
        <v>10</v>
      </c>
      <c r="I889">
        <v>437.1</v>
      </c>
      <c r="J889" s="1" t="str">
        <f t="shared" si="39"/>
        <v>valid</v>
      </c>
      <c r="K889" t="e">
        <f t="shared" ca="1" si="40"/>
        <v>#NAME?</v>
      </c>
      <c r="L889" t="str">
        <f>IF(E889&gt;=80,"High Value","Normal")</f>
        <v>Normal</v>
      </c>
      <c r="M889" s="2" t="b">
        <f t="shared" si="41"/>
        <v>0</v>
      </c>
      <c r="N889" t="str">
        <f>VLOOKUP(A889,A888:H1888,8)</f>
        <v>Groceries</v>
      </c>
    </row>
    <row r="890" spans="1:14" x14ac:dyDescent="0.35">
      <c r="A890">
        <v>889</v>
      </c>
      <c r="B890">
        <v>33</v>
      </c>
      <c r="C890" t="s">
        <v>13</v>
      </c>
      <c r="D890">
        <v>146269</v>
      </c>
      <c r="E890">
        <v>92</v>
      </c>
      <c r="F890">
        <v>6</v>
      </c>
      <c r="G890">
        <v>10</v>
      </c>
      <c r="H890" t="s">
        <v>11</v>
      </c>
      <c r="I890">
        <v>486.86</v>
      </c>
      <c r="J890" s="1" t="str">
        <f t="shared" si="39"/>
        <v>valid</v>
      </c>
      <c r="K890" t="e">
        <f t="shared" ca="1" si="40"/>
        <v>#NAME?</v>
      </c>
      <c r="L890" t="str">
        <f>IF(E890&gt;=80,"High Value","Normal")</f>
        <v>High Value</v>
      </c>
      <c r="M890" s="2" t="b">
        <f t="shared" si="41"/>
        <v>0</v>
      </c>
      <c r="N890" t="str">
        <f>VLOOKUP(A890,A889:H1889,8)</f>
        <v>Sports</v>
      </c>
    </row>
    <row r="891" spans="1:14" x14ac:dyDescent="0.35">
      <c r="A891">
        <v>890</v>
      </c>
      <c r="B891">
        <v>60</v>
      </c>
      <c r="C891" t="s">
        <v>13</v>
      </c>
      <c r="D891">
        <v>73059</v>
      </c>
      <c r="E891">
        <v>77</v>
      </c>
      <c r="F891">
        <v>3</v>
      </c>
      <c r="G891">
        <v>31</v>
      </c>
      <c r="H891" t="s">
        <v>12</v>
      </c>
      <c r="I891">
        <v>581.15</v>
      </c>
      <c r="J891" s="1" t="str">
        <f t="shared" si="39"/>
        <v>valid</v>
      </c>
      <c r="K891" t="e">
        <f t="shared" ca="1" si="40"/>
        <v>#NAME?</v>
      </c>
      <c r="L891" t="str">
        <f>IF(E891&gt;=80,"High Value","Normal")</f>
        <v>Normal</v>
      </c>
      <c r="M891" s="2" t="str">
        <f t="shared" si="41"/>
        <v>YES</v>
      </c>
      <c r="N891" t="str">
        <f>VLOOKUP(A891,A890:H1890,8)</f>
        <v>Clothing</v>
      </c>
    </row>
    <row r="892" spans="1:14" x14ac:dyDescent="0.35">
      <c r="A892">
        <v>891</v>
      </c>
      <c r="B892">
        <v>22</v>
      </c>
      <c r="C892" t="s">
        <v>13</v>
      </c>
      <c r="D892">
        <v>87909</v>
      </c>
      <c r="E892">
        <v>19</v>
      </c>
      <c r="F892">
        <v>7</v>
      </c>
      <c r="G892">
        <v>39</v>
      </c>
      <c r="H892" t="s">
        <v>11</v>
      </c>
      <c r="I892">
        <v>20.52</v>
      </c>
      <c r="J892" s="1" t="str">
        <f t="shared" si="39"/>
        <v>valid</v>
      </c>
      <c r="K892" t="e">
        <f t="shared" ca="1" si="40"/>
        <v>#NAME?</v>
      </c>
      <c r="L892" t="str">
        <f>IF(E892&gt;=80,"High Value","Normal")</f>
        <v>Normal</v>
      </c>
      <c r="M892" s="2" t="b">
        <f t="shared" si="41"/>
        <v>0</v>
      </c>
      <c r="N892" t="str">
        <f>VLOOKUP(A892,A891:H1891,8)</f>
        <v>Sports</v>
      </c>
    </row>
    <row r="893" spans="1:14" x14ac:dyDescent="0.35">
      <c r="A893">
        <v>892</v>
      </c>
      <c r="B893">
        <v>66</v>
      </c>
      <c r="C893" t="s">
        <v>13</v>
      </c>
      <c r="D893">
        <v>40932</v>
      </c>
      <c r="E893">
        <v>5</v>
      </c>
      <c r="F893">
        <v>1</v>
      </c>
      <c r="G893">
        <v>48</v>
      </c>
      <c r="H893" t="s">
        <v>11</v>
      </c>
      <c r="I893">
        <v>546.05999999999995</v>
      </c>
      <c r="J893" s="1" t="str">
        <f t="shared" si="39"/>
        <v>valid</v>
      </c>
      <c r="K893" t="e">
        <f t="shared" ca="1" si="40"/>
        <v>#NAME?</v>
      </c>
      <c r="L893" t="str">
        <f>IF(E893&gt;=80,"High Value","Normal")</f>
        <v>Normal</v>
      </c>
      <c r="M893" s="2" t="str">
        <f t="shared" si="41"/>
        <v>YES</v>
      </c>
      <c r="N893" t="str">
        <f>VLOOKUP(A893,A892:H1892,8)</f>
        <v>Sports</v>
      </c>
    </row>
    <row r="894" spans="1:14" x14ac:dyDescent="0.35">
      <c r="A894">
        <v>893</v>
      </c>
      <c r="B894">
        <v>24</v>
      </c>
      <c r="C894" t="s">
        <v>9</v>
      </c>
      <c r="D894">
        <v>60763</v>
      </c>
      <c r="E894">
        <v>92</v>
      </c>
      <c r="F894">
        <v>5</v>
      </c>
      <c r="G894">
        <v>29</v>
      </c>
      <c r="H894" t="s">
        <v>14</v>
      </c>
      <c r="I894">
        <v>320.7</v>
      </c>
      <c r="J894" s="1" t="str">
        <f t="shared" si="39"/>
        <v>valid</v>
      </c>
      <c r="K894" t="e">
        <f t="shared" ca="1" si="40"/>
        <v>#NAME?</v>
      </c>
      <c r="L894" t="str">
        <f>IF(E894&gt;=80,"High Value","Normal")</f>
        <v>High Value</v>
      </c>
      <c r="M894" s="2" t="b">
        <f t="shared" si="41"/>
        <v>0</v>
      </c>
      <c r="N894" t="str">
        <f>VLOOKUP(A894,A893:H1893,8)</f>
        <v>Home &amp; Garden</v>
      </c>
    </row>
    <row r="895" spans="1:14" x14ac:dyDescent="0.35">
      <c r="A895">
        <v>894</v>
      </c>
      <c r="B895">
        <v>63</v>
      </c>
      <c r="C895" t="s">
        <v>13</v>
      </c>
      <c r="D895">
        <v>119492</v>
      </c>
      <c r="E895">
        <v>25</v>
      </c>
      <c r="F895">
        <v>8</v>
      </c>
      <c r="G895">
        <v>40</v>
      </c>
      <c r="H895" t="s">
        <v>11</v>
      </c>
      <c r="I895">
        <v>758.1</v>
      </c>
      <c r="J895" s="1" t="str">
        <f t="shared" si="39"/>
        <v>valid</v>
      </c>
      <c r="K895" t="e">
        <f t="shared" ca="1" si="40"/>
        <v>#NAME?</v>
      </c>
      <c r="L895" t="str">
        <f>IF(E895&gt;=80,"High Value","Normal")</f>
        <v>Normal</v>
      </c>
      <c r="M895" s="2" t="str">
        <f t="shared" si="41"/>
        <v>YES</v>
      </c>
      <c r="N895" t="str">
        <f>VLOOKUP(A895,A894:H1894,8)</f>
        <v>Sports</v>
      </c>
    </row>
    <row r="896" spans="1:14" x14ac:dyDescent="0.35">
      <c r="A896">
        <v>895</v>
      </c>
      <c r="B896">
        <v>27</v>
      </c>
      <c r="C896" t="s">
        <v>16</v>
      </c>
      <c r="D896">
        <v>128640</v>
      </c>
      <c r="E896">
        <v>3</v>
      </c>
      <c r="F896">
        <v>5</v>
      </c>
      <c r="G896">
        <v>2</v>
      </c>
      <c r="H896" t="s">
        <v>14</v>
      </c>
      <c r="I896">
        <v>140.52000000000001</v>
      </c>
      <c r="J896" s="1" t="str">
        <f t="shared" si="39"/>
        <v>valid</v>
      </c>
      <c r="K896" t="e">
        <f t="shared" ca="1" si="40"/>
        <v>#NAME?</v>
      </c>
      <c r="L896" t="str">
        <f>IF(E896&gt;=80,"High Value","Normal")</f>
        <v>Normal</v>
      </c>
      <c r="M896" s="2" t="b">
        <f t="shared" si="41"/>
        <v>0</v>
      </c>
      <c r="N896" t="str">
        <f>VLOOKUP(A896,A895:H1895,8)</f>
        <v>Home &amp; Garden</v>
      </c>
    </row>
    <row r="897" spans="1:14" x14ac:dyDescent="0.35">
      <c r="A897">
        <v>896</v>
      </c>
      <c r="B897">
        <v>53</v>
      </c>
      <c r="C897" t="s">
        <v>16</v>
      </c>
      <c r="D897">
        <v>137307</v>
      </c>
      <c r="E897">
        <v>34</v>
      </c>
      <c r="F897">
        <v>1</v>
      </c>
      <c r="G897">
        <v>26</v>
      </c>
      <c r="H897" t="s">
        <v>11</v>
      </c>
      <c r="I897">
        <v>952.12</v>
      </c>
      <c r="J897" s="1" t="str">
        <f t="shared" si="39"/>
        <v>valid</v>
      </c>
      <c r="K897" t="e">
        <f t="shared" ca="1" si="40"/>
        <v>#NAME?</v>
      </c>
      <c r="L897" t="str">
        <f>IF(E897&gt;=80,"High Value","Normal")</f>
        <v>Normal</v>
      </c>
      <c r="M897" s="2" t="str">
        <f t="shared" si="41"/>
        <v>YES</v>
      </c>
      <c r="N897" t="str">
        <f>VLOOKUP(A897,A896:H1896,8)</f>
        <v>Sports</v>
      </c>
    </row>
    <row r="898" spans="1:14" x14ac:dyDescent="0.35">
      <c r="A898">
        <v>897</v>
      </c>
      <c r="B898">
        <v>32</v>
      </c>
      <c r="C898" t="s">
        <v>16</v>
      </c>
      <c r="D898">
        <v>81701</v>
      </c>
      <c r="E898">
        <v>96</v>
      </c>
      <c r="F898">
        <v>9</v>
      </c>
      <c r="G898">
        <v>49</v>
      </c>
      <c r="H898" t="s">
        <v>15</v>
      </c>
      <c r="I898">
        <v>77.45</v>
      </c>
      <c r="J898" s="1" t="str">
        <f t="shared" si="39"/>
        <v>valid</v>
      </c>
      <c r="K898" t="e">
        <f t="shared" ca="1" si="40"/>
        <v>#NAME?</v>
      </c>
      <c r="L898" t="str">
        <f>IF(E898&gt;=80,"High Value","Normal")</f>
        <v>High Value</v>
      </c>
      <c r="M898" s="2" t="str">
        <f t="shared" si="41"/>
        <v>YES</v>
      </c>
      <c r="N898" t="str">
        <f>VLOOKUP(A898,A897:H1897,8)</f>
        <v>Electronics</v>
      </c>
    </row>
    <row r="899" spans="1:14" x14ac:dyDescent="0.35">
      <c r="A899">
        <v>898</v>
      </c>
      <c r="B899">
        <v>64</v>
      </c>
      <c r="C899" t="s">
        <v>13</v>
      </c>
      <c r="D899">
        <v>82140</v>
      </c>
      <c r="E899">
        <v>57</v>
      </c>
      <c r="F899">
        <v>3</v>
      </c>
      <c r="G899">
        <v>7</v>
      </c>
      <c r="H899" t="s">
        <v>14</v>
      </c>
      <c r="I899">
        <v>97.97</v>
      </c>
      <c r="J899" s="1" t="str">
        <f t="shared" ref="J899:J962" si="42">IF(AND(B899&gt;=18, B899&lt;=100), "valid", "invalid")</f>
        <v>valid</v>
      </c>
      <c r="K899" t="e">
        <f t="shared" ref="K899:K962" ca="1" si="43">IFS(OR(C899= "Female",C899="female",C899= "F"), "Female", OR(C899="Male", C899="male",C899= "M"), "Male", TRUE, "Other")</f>
        <v>#NAME?</v>
      </c>
      <c r="L899" t="str">
        <f>IF(E899&gt;=80,"High Value","Normal")</f>
        <v>Normal</v>
      </c>
      <c r="M899" s="2" t="b">
        <f t="shared" ref="M899:M962" si="44">IF(AND(B899&gt;30,G899&gt;20), "YES")</f>
        <v>0</v>
      </c>
      <c r="N899" t="str">
        <f>VLOOKUP(A899,A898:H1898,8)</f>
        <v>Home &amp; Garden</v>
      </c>
    </row>
    <row r="900" spans="1:14" x14ac:dyDescent="0.35">
      <c r="A900">
        <v>899</v>
      </c>
      <c r="B900">
        <v>48</v>
      </c>
      <c r="C900" t="s">
        <v>16</v>
      </c>
      <c r="D900">
        <v>134463</v>
      </c>
      <c r="E900">
        <v>32</v>
      </c>
      <c r="F900">
        <v>2</v>
      </c>
      <c r="G900">
        <v>7</v>
      </c>
      <c r="H900" t="s">
        <v>15</v>
      </c>
      <c r="I900">
        <v>535.1</v>
      </c>
      <c r="J900" s="1" t="str">
        <f t="shared" si="42"/>
        <v>valid</v>
      </c>
      <c r="K900" t="e">
        <f t="shared" ca="1" si="43"/>
        <v>#NAME?</v>
      </c>
      <c r="L900" t="str">
        <f>IF(E900&gt;=80,"High Value","Normal")</f>
        <v>Normal</v>
      </c>
      <c r="M900" s="2" t="b">
        <f t="shared" si="44"/>
        <v>0</v>
      </c>
      <c r="N900" t="str">
        <f>VLOOKUP(A900,A899:H1899,8)</f>
        <v>Electronics</v>
      </c>
    </row>
    <row r="901" spans="1:14" x14ac:dyDescent="0.35">
      <c r="A901">
        <v>900</v>
      </c>
      <c r="B901">
        <v>52</v>
      </c>
      <c r="C901" t="s">
        <v>9</v>
      </c>
      <c r="D901">
        <v>41544</v>
      </c>
      <c r="E901">
        <v>1</v>
      </c>
      <c r="F901">
        <v>10</v>
      </c>
      <c r="G901">
        <v>46</v>
      </c>
      <c r="H901" t="s">
        <v>14</v>
      </c>
      <c r="I901">
        <v>720.52</v>
      </c>
      <c r="J901" s="1" t="str">
        <f t="shared" si="42"/>
        <v>valid</v>
      </c>
      <c r="K901" t="e">
        <f t="shared" ca="1" si="43"/>
        <v>#NAME?</v>
      </c>
      <c r="L901" t="str">
        <f>IF(E901&gt;=80,"High Value","Normal")</f>
        <v>Normal</v>
      </c>
      <c r="M901" s="2" t="str">
        <f t="shared" si="44"/>
        <v>YES</v>
      </c>
      <c r="N901" t="str">
        <f>VLOOKUP(A901,A900:H1900,8)</f>
        <v>Home &amp; Garden</v>
      </c>
    </row>
    <row r="902" spans="1:14" x14ac:dyDescent="0.35">
      <c r="A902">
        <v>901</v>
      </c>
      <c r="B902">
        <v>57</v>
      </c>
      <c r="C902" t="s">
        <v>9</v>
      </c>
      <c r="D902">
        <v>135440</v>
      </c>
      <c r="E902">
        <v>46</v>
      </c>
      <c r="F902">
        <v>8</v>
      </c>
      <c r="G902">
        <v>3</v>
      </c>
      <c r="H902" t="s">
        <v>14</v>
      </c>
      <c r="I902">
        <v>442.46</v>
      </c>
      <c r="J902" s="1" t="str">
        <f t="shared" si="42"/>
        <v>valid</v>
      </c>
      <c r="K902" t="e">
        <f t="shared" ca="1" si="43"/>
        <v>#NAME?</v>
      </c>
      <c r="L902" t="str">
        <f>IF(E902&gt;=80,"High Value","Normal")</f>
        <v>Normal</v>
      </c>
      <c r="M902" s="2" t="b">
        <f t="shared" si="44"/>
        <v>0</v>
      </c>
      <c r="N902" t="str">
        <f>VLOOKUP(A902,A901:H1901,8)</f>
        <v>Home &amp; Garden</v>
      </c>
    </row>
    <row r="903" spans="1:14" x14ac:dyDescent="0.35">
      <c r="A903">
        <v>902</v>
      </c>
      <c r="B903">
        <v>55</v>
      </c>
      <c r="C903" t="s">
        <v>9</v>
      </c>
      <c r="D903">
        <v>72193</v>
      </c>
      <c r="E903">
        <v>39</v>
      </c>
      <c r="F903">
        <v>2</v>
      </c>
      <c r="G903">
        <v>6</v>
      </c>
      <c r="H903" t="s">
        <v>14</v>
      </c>
      <c r="I903">
        <v>207.44</v>
      </c>
      <c r="J903" s="1" t="str">
        <f t="shared" si="42"/>
        <v>valid</v>
      </c>
      <c r="K903" t="e">
        <f t="shared" ca="1" si="43"/>
        <v>#NAME?</v>
      </c>
      <c r="L903" t="str">
        <f>IF(E903&gt;=80,"High Value","Normal")</f>
        <v>Normal</v>
      </c>
      <c r="M903" s="2" t="b">
        <f t="shared" si="44"/>
        <v>0</v>
      </c>
      <c r="N903" t="str">
        <f>VLOOKUP(A903,A902:H1902,8)</f>
        <v>Home &amp; Garden</v>
      </c>
    </row>
    <row r="904" spans="1:14" x14ac:dyDescent="0.35">
      <c r="A904">
        <v>903</v>
      </c>
      <c r="B904">
        <v>33</v>
      </c>
      <c r="C904" t="s">
        <v>13</v>
      </c>
      <c r="D904">
        <v>106771</v>
      </c>
      <c r="E904">
        <v>23</v>
      </c>
      <c r="F904">
        <v>7</v>
      </c>
      <c r="G904">
        <v>3</v>
      </c>
      <c r="H904" t="s">
        <v>11</v>
      </c>
      <c r="I904">
        <v>609.79999999999995</v>
      </c>
      <c r="J904" s="1" t="str">
        <f t="shared" si="42"/>
        <v>valid</v>
      </c>
      <c r="K904" t="e">
        <f t="shared" ca="1" si="43"/>
        <v>#NAME?</v>
      </c>
      <c r="L904" t="str">
        <f>IF(E904&gt;=80,"High Value","Normal")</f>
        <v>Normal</v>
      </c>
      <c r="M904" s="2" t="b">
        <f t="shared" si="44"/>
        <v>0</v>
      </c>
      <c r="N904" t="str">
        <f>VLOOKUP(A904,A903:H1903,8)</f>
        <v>Sports</v>
      </c>
    </row>
    <row r="905" spans="1:14" x14ac:dyDescent="0.35">
      <c r="A905">
        <v>904</v>
      </c>
      <c r="B905">
        <v>64</v>
      </c>
      <c r="C905" t="s">
        <v>9</v>
      </c>
      <c r="D905">
        <v>122557</v>
      </c>
      <c r="E905">
        <v>87</v>
      </c>
      <c r="F905">
        <v>2</v>
      </c>
      <c r="G905">
        <v>5</v>
      </c>
      <c r="H905" t="s">
        <v>10</v>
      </c>
      <c r="I905">
        <v>344.59</v>
      </c>
      <c r="J905" s="1" t="str">
        <f t="shared" si="42"/>
        <v>valid</v>
      </c>
      <c r="K905" t="e">
        <f t="shared" ca="1" si="43"/>
        <v>#NAME?</v>
      </c>
      <c r="L905" t="str">
        <f>IF(E905&gt;=80,"High Value","Normal")</f>
        <v>High Value</v>
      </c>
      <c r="M905" s="2" t="b">
        <f t="shared" si="44"/>
        <v>0</v>
      </c>
      <c r="N905" t="str">
        <f>VLOOKUP(A905,A904:H1904,8)</f>
        <v>Groceries</v>
      </c>
    </row>
    <row r="906" spans="1:14" x14ac:dyDescent="0.35">
      <c r="A906">
        <v>905</v>
      </c>
      <c r="B906">
        <v>64</v>
      </c>
      <c r="C906" t="s">
        <v>16</v>
      </c>
      <c r="D906">
        <v>139658</v>
      </c>
      <c r="E906">
        <v>77</v>
      </c>
      <c r="F906">
        <v>6</v>
      </c>
      <c r="G906">
        <v>26</v>
      </c>
      <c r="H906" t="s">
        <v>11</v>
      </c>
      <c r="I906">
        <v>71.97</v>
      </c>
      <c r="J906" s="1" t="str">
        <f t="shared" si="42"/>
        <v>valid</v>
      </c>
      <c r="K906" t="e">
        <f t="shared" ca="1" si="43"/>
        <v>#NAME?</v>
      </c>
      <c r="L906" t="str">
        <f>IF(E906&gt;=80,"High Value","Normal")</f>
        <v>Normal</v>
      </c>
      <c r="M906" s="2" t="str">
        <f t="shared" si="44"/>
        <v>YES</v>
      </c>
      <c r="N906" t="str">
        <f>VLOOKUP(A906,A905:H1905,8)</f>
        <v>Sports</v>
      </c>
    </row>
    <row r="907" spans="1:14" x14ac:dyDescent="0.35">
      <c r="A907">
        <v>906</v>
      </c>
      <c r="B907">
        <v>25</v>
      </c>
      <c r="C907" t="s">
        <v>16</v>
      </c>
      <c r="D907">
        <v>130604</v>
      </c>
      <c r="E907">
        <v>100</v>
      </c>
      <c r="F907">
        <v>4</v>
      </c>
      <c r="G907">
        <v>41</v>
      </c>
      <c r="H907" t="s">
        <v>15</v>
      </c>
      <c r="I907">
        <v>355.45</v>
      </c>
      <c r="J907" s="1" t="str">
        <f t="shared" si="42"/>
        <v>valid</v>
      </c>
      <c r="K907" t="e">
        <f t="shared" ca="1" si="43"/>
        <v>#NAME?</v>
      </c>
      <c r="L907" t="str">
        <f>IF(E907&gt;=80,"High Value","Normal")</f>
        <v>High Value</v>
      </c>
      <c r="M907" s="2" t="b">
        <f t="shared" si="44"/>
        <v>0</v>
      </c>
      <c r="N907" t="str">
        <f>VLOOKUP(A907,A906:H1906,8)</f>
        <v>Electronics</v>
      </c>
    </row>
    <row r="908" spans="1:14" x14ac:dyDescent="0.35">
      <c r="A908">
        <v>907</v>
      </c>
      <c r="B908">
        <v>62</v>
      </c>
      <c r="C908" t="s">
        <v>13</v>
      </c>
      <c r="D908">
        <v>113706</v>
      </c>
      <c r="E908">
        <v>19</v>
      </c>
      <c r="F908">
        <v>1</v>
      </c>
      <c r="G908">
        <v>13</v>
      </c>
      <c r="H908" t="s">
        <v>14</v>
      </c>
      <c r="I908">
        <v>427.68</v>
      </c>
      <c r="J908" s="1" t="str">
        <f t="shared" si="42"/>
        <v>valid</v>
      </c>
      <c r="K908" t="e">
        <f t="shared" ca="1" si="43"/>
        <v>#NAME?</v>
      </c>
      <c r="L908" t="str">
        <f>IF(E908&gt;=80,"High Value","Normal")</f>
        <v>Normal</v>
      </c>
      <c r="M908" s="2" t="b">
        <f t="shared" si="44"/>
        <v>0</v>
      </c>
      <c r="N908" t="str">
        <f>VLOOKUP(A908,A907:H1907,8)</f>
        <v>Home &amp; Garden</v>
      </c>
    </row>
    <row r="909" spans="1:14" x14ac:dyDescent="0.35">
      <c r="A909">
        <v>908</v>
      </c>
      <c r="B909">
        <v>59</v>
      </c>
      <c r="C909" t="s">
        <v>13</v>
      </c>
      <c r="D909">
        <v>141567</v>
      </c>
      <c r="E909">
        <v>27</v>
      </c>
      <c r="F909">
        <v>8</v>
      </c>
      <c r="G909">
        <v>30</v>
      </c>
      <c r="H909" t="s">
        <v>11</v>
      </c>
      <c r="I909">
        <v>95.96</v>
      </c>
      <c r="J909" s="1" t="str">
        <f t="shared" si="42"/>
        <v>valid</v>
      </c>
      <c r="K909" t="e">
        <f t="shared" ca="1" si="43"/>
        <v>#NAME?</v>
      </c>
      <c r="L909" t="str">
        <f>IF(E909&gt;=80,"High Value","Normal")</f>
        <v>Normal</v>
      </c>
      <c r="M909" s="2" t="str">
        <f t="shared" si="44"/>
        <v>YES</v>
      </c>
      <c r="N909" t="str">
        <f>VLOOKUP(A909,A908:H1908,8)</f>
        <v>Sports</v>
      </c>
    </row>
    <row r="910" spans="1:14" x14ac:dyDescent="0.35">
      <c r="A910">
        <v>909</v>
      </c>
      <c r="B910">
        <v>27</v>
      </c>
      <c r="C910" t="s">
        <v>9</v>
      </c>
      <c r="D910">
        <v>89618</v>
      </c>
      <c r="E910">
        <v>49</v>
      </c>
      <c r="F910">
        <v>8</v>
      </c>
      <c r="G910">
        <v>12</v>
      </c>
      <c r="H910" t="s">
        <v>10</v>
      </c>
      <c r="I910">
        <v>831.05</v>
      </c>
      <c r="J910" s="1" t="str">
        <f t="shared" si="42"/>
        <v>valid</v>
      </c>
      <c r="K910" t="e">
        <f t="shared" ca="1" si="43"/>
        <v>#NAME?</v>
      </c>
      <c r="L910" t="str">
        <f>IF(E910&gt;=80,"High Value","Normal")</f>
        <v>Normal</v>
      </c>
      <c r="M910" s="2" t="b">
        <f t="shared" si="44"/>
        <v>0</v>
      </c>
      <c r="N910" t="str">
        <f>VLOOKUP(A910,A909:H1909,8)</f>
        <v>Groceries</v>
      </c>
    </row>
    <row r="911" spans="1:14" x14ac:dyDescent="0.35">
      <c r="A911">
        <v>910</v>
      </c>
      <c r="B911">
        <v>55</v>
      </c>
      <c r="C911" t="s">
        <v>13</v>
      </c>
      <c r="D911">
        <v>45562</v>
      </c>
      <c r="E911">
        <v>68</v>
      </c>
      <c r="F911">
        <v>3</v>
      </c>
      <c r="G911">
        <v>30</v>
      </c>
      <c r="H911" t="s">
        <v>10</v>
      </c>
      <c r="I911">
        <v>628.34</v>
      </c>
      <c r="J911" s="1" t="str">
        <f t="shared" si="42"/>
        <v>valid</v>
      </c>
      <c r="K911" t="e">
        <f t="shared" ca="1" si="43"/>
        <v>#NAME?</v>
      </c>
      <c r="L911" t="str">
        <f>IF(E911&gt;=80,"High Value","Normal")</f>
        <v>Normal</v>
      </c>
      <c r="M911" s="2" t="str">
        <f t="shared" si="44"/>
        <v>YES</v>
      </c>
      <c r="N911" t="str">
        <f>VLOOKUP(A911,A910:H1910,8)</f>
        <v>Groceries</v>
      </c>
    </row>
    <row r="912" spans="1:14" x14ac:dyDescent="0.35">
      <c r="A912">
        <v>911</v>
      </c>
      <c r="B912">
        <v>66</v>
      </c>
      <c r="C912" t="s">
        <v>9</v>
      </c>
      <c r="D912">
        <v>55154</v>
      </c>
      <c r="E912">
        <v>93</v>
      </c>
      <c r="F912">
        <v>3</v>
      </c>
      <c r="G912">
        <v>19</v>
      </c>
      <c r="H912" t="s">
        <v>15</v>
      </c>
      <c r="I912">
        <v>684.88</v>
      </c>
      <c r="J912" s="1" t="str">
        <f t="shared" si="42"/>
        <v>valid</v>
      </c>
      <c r="K912" t="e">
        <f t="shared" ca="1" si="43"/>
        <v>#NAME?</v>
      </c>
      <c r="L912" t="str">
        <f>IF(E912&gt;=80,"High Value","Normal")</f>
        <v>High Value</v>
      </c>
      <c r="M912" s="2" t="b">
        <f t="shared" si="44"/>
        <v>0</v>
      </c>
      <c r="N912" t="str">
        <f>VLOOKUP(A912,A911:H1911,8)</f>
        <v>Electronics</v>
      </c>
    </row>
    <row r="913" spans="1:14" x14ac:dyDescent="0.35">
      <c r="A913">
        <v>912</v>
      </c>
      <c r="B913">
        <v>54</v>
      </c>
      <c r="C913" t="s">
        <v>16</v>
      </c>
      <c r="D913">
        <v>69676</v>
      </c>
      <c r="E913">
        <v>9</v>
      </c>
      <c r="F913">
        <v>7</v>
      </c>
      <c r="G913">
        <v>30</v>
      </c>
      <c r="H913" t="s">
        <v>12</v>
      </c>
      <c r="I913">
        <v>932.68</v>
      </c>
      <c r="J913" s="1" t="str">
        <f t="shared" si="42"/>
        <v>valid</v>
      </c>
      <c r="K913" t="e">
        <f t="shared" ca="1" si="43"/>
        <v>#NAME?</v>
      </c>
      <c r="L913" t="str">
        <f>IF(E913&gt;=80,"High Value","Normal")</f>
        <v>Normal</v>
      </c>
      <c r="M913" s="2" t="str">
        <f t="shared" si="44"/>
        <v>YES</v>
      </c>
      <c r="N913" t="str">
        <f>VLOOKUP(A913,A912:H1912,8)</f>
        <v>Clothing</v>
      </c>
    </row>
    <row r="914" spans="1:14" x14ac:dyDescent="0.35">
      <c r="A914">
        <v>913</v>
      </c>
      <c r="B914">
        <v>38</v>
      </c>
      <c r="C914" t="s">
        <v>16</v>
      </c>
      <c r="D914">
        <v>45551</v>
      </c>
      <c r="E914">
        <v>100</v>
      </c>
      <c r="F914">
        <v>10</v>
      </c>
      <c r="G914">
        <v>22</v>
      </c>
      <c r="H914" t="s">
        <v>15</v>
      </c>
      <c r="I914">
        <v>99.63</v>
      </c>
      <c r="J914" s="1" t="str">
        <f t="shared" si="42"/>
        <v>valid</v>
      </c>
      <c r="K914" t="e">
        <f t="shared" ca="1" si="43"/>
        <v>#NAME?</v>
      </c>
      <c r="L914" t="str">
        <f>IF(E914&gt;=80,"High Value","Normal")</f>
        <v>High Value</v>
      </c>
      <c r="M914" s="2" t="str">
        <f t="shared" si="44"/>
        <v>YES</v>
      </c>
      <c r="N914" t="str">
        <f>VLOOKUP(A914,A913:H1913,8)</f>
        <v>Electronics</v>
      </c>
    </row>
    <row r="915" spans="1:14" x14ac:dyDescent="0.35">
      <c r="A915">
        <v>914</v>
      </c>
      <c r="B915">
        <v>55</v>
      </c>
      <c r="C915" t="s">
        <v>16</v>
      </c>
      <c r="D915">
        <v>109314</v>
      </c>
      <c r="E915">
        <v>72</v>
      </c>
      <c r="F915">
        <v>10</v>
      </c>
      <c r="G915">
        <v>47</v>
      </c>
      <c r="H915" t="s">
        <v>15</v>
      </c>
      <c r="I915">
        <v>438.97</v>
      </c>
      <c r="J915" s="1" t="str">
        <f t="shared" si="42"/>
        <v>valid</v>
      </c>
      <c r="K915" t="e">
        <f t="shared" ca="1" si="43"/>
        <v>#NAME?</v>
      </c>
      <c r="L915" t="str">
        <f>IF(E915&gt;=80,"High Value","Normal")</f>
        <v>Normal</v>
      </c>
      <c r="M915" s="2" t="str">
        <f t="shared" si="44"/>
        <v>YES</v>
      </c>
      <c r="N915" t="str">
        <f>VLOOKUP(A915,A914:H1914,8)</f>
        <v>Electronics</v>
      </c>
    </row>
    <row r="916" spans="1:14" x14ac:dyDescent="0.35">
      <c r="A916">
        <v>915</v>
      </c>
      <c r="B916">
        <v>18</v>
      </c>
      <c r="C916" t="s">
        <v>13</v>
      </c>
      <c r="D916">
        <v>69502</v>
      </c>
      <c r="E916">
        <v>83</v>
      </c>
      <c r="F916">
        <v>6</v>
      </c>
      <c r="G916">
        <v>32</v>
      </c>
      <c r="H916" t="s">
        <v>11</v>
      </c>
      <c r="I916">
        <v>236.83</v>
      </c>
      <c r="J916" s="1" t="str">
        <f t="shared" si="42"/>
        <v>valid</v>
      </c>
      <c r="K916" t="e">
        <f t="shared" ca="1" si="43"/>
        <v>#NAME?</v>
      </c>
      <c r="L916" t="str">
        <f>IF(E916&gt;=80,"High Value","Normal")</f>
        <v>High Value</v>
      </c>
      <c r="M916" s="2" t="b">
        <f t="shared" si="44"/>
        <v>0</v>
      </c>
      <c r="N916" t="str">
        <f>VLOOKUP(A916,A915:H1915,8)</f>
        <v>Sports</v>
      </c>
    </row>
    <row r="917" spans="1:14" x14ac:dyDescent="0.35">
      <c r="A917">
        <v>916</v>
      </c>
      <c r="B917">
        <v>26</v>
      </c>
      <c r="C917" t="s">
        <v>16</v>
      </c>
      <c r="D917">
        <v>131020</v>
      </c>
      <c r="E917">
        <v>23</v>
      </c>
      <c r="F917">
        <v>7</v>
      </c>
      <c r="G917">
        <v>22</v>
      </c>
      <c r="H917" t="s">
        <v>10</v>
      </c>
      <c r="I917">
        <v>844.88</v>
      </c>
      <c r="J917" s="1" t="str">
        <f t="shared" si="42"/>
        <v>valid</v>
      </c>
      <c r="K917" t="e">
        <f t="shared" ca="1" si="43"/>
        <v>#NAME?</v>
      </c>
      <c r="L917" t="str">
        <f>IF(E917&gt;=80,"High Value","Normal")</f>
        <v>Normal</v>
      </c>
      <c r="M917" s="2" t="b">
        <f t="shared" si="44"/>
        <v>0</v>
      </c>
      <c r="N917" t="str">
        <f>VLOOKUP(A917,A916:H1916,8)</f>
        <v>Groceries</v>
      </c>
    </row>
    <row r="918" spans="1:14" x14ac:dyDescent="0.35">
      <c r="A918">
        <v>917</v>
      </c>
      <c r="B918">
        <v>49</v>
      </c>
      <c r="C918" t="s">
        <v>13</v>
      </c>
      <c r="D918">
        <v>30523</v>
      </c>
      <c r="E918">
        <v>83</v>
      </c>
      <c r="F918">
        <v>4</v>
      </c>
      <c r="G918">
        <v>38</v>
      </c>
      <c r="H918" t="s">
        <v>15</v>
      </c>
      <c r="I918">
        <v>564.48</v>
      </c>
      <c r="J918" s="1" t="str">
        <f t="shared" si="42"/>
        <v>valid</v>
      </c>
      <c r="K918" t="e">
        <f t="shared" ca="1" si="43"/>
        <v>#NAME?</v>
      </c>
      <c r="L918" t="str">
        <f>IF(E918&gt;=80,"High Value","Normal")</f>
        <v>High Value</v>
      </c>
      <c r="M918" s="2" t="str">
        <f t="shared" si="44"/>
        <v>YES</v>
      </c>
      <c r="N918" t="str">
        <f>VLOOKUP(A918,A917:H1917,8)</f>
        <v>Electronics</v>
      </c>
    </row>
    <row r="919" spans="1:14" x14ac:dyDescent="0.35">
      <c r="A919">
        <v>918</v>
      </c>
      <c r="B919">
        <v>36</v>
      </c>
      <c r="C919" t="s">
        <v>9</v>
      </c>
      <c r="D919">
        <v>45458</v>
      </c>
      <c r="E919">
        <v>74</v>
      </c>
      <c r="F919">
        <v>6</v>
      </c>
      <c r="G919">
        <v>19</v>
      </c>
      <c r="H919" t="s">
        <v>10</v>
      </c>
      <c r="I919">
        <v>135.22999999999999</v>
      </c>
      <c r="J919" s="1" t="str">
        <f t="shared" si="42"/>
        <v>valid</v>
      </c>
      <c r="K919" t="e">
        <f t="shared" ca="1" si="43"/>
        <v>#NAME?</v>
      </c>
      <c r="L919" t="str">
        <f>IF(E919&gt;=80,"High Value","Normal")</f>
        <v>Normal</v>
      </c>
      <c r="M919" s="2" t="b">
        <f t="shared" si="44"/>
        <v>0</v>
      </c>
      <c r="N919" t="str">
        <f>VLOOKUP(A919,A918:H1918,8)</f>
        <v>Groceries</v>
      </c>
    </row>
    <row r="920" spans="1:14" x14ac:dyDescent="0.35">
      <c r="A920">
        <v>919</v>
      </c>
      <c r="B920">
        <v>28</v>
      </c>
      <c r="C920" t="s">
        <v>13</v>
      </c>
      <c r="D920">
        <v>57107</v>
      </c>
      <c r="E920">
        <v>82</v>
      </c>
      <c r="F920">
        <v>5</v>
      </c>
      <c r="G920">
        <v>2</v>
      </c>
      <c r="H920" t="s">
        <v>14</v>
      </c>
      <c r="I920">
        <v>271.17</v>
      </c>
      <c r="J920" s="1" t="str">
        <f t="shared" si="42"/>
        <v>valid</v>
      </c>
      <c r="K920" t="e">
        <f t="shared" ca="1" si="43"/>
        <v>#NAME?</v>
      </c>
      <c r="L920" t="str">
        <f>IF(E920&gt;=80,"High Value","Normal")</f>
        <v>High Value</v>
      </c>
      <c r="M920" s="2" t="b">
        <f t="shared" si="44"/>
        <v>0</v>
      </c>
      <c r="N920" t="str">
        <f>VLOOKUP(A920,A919:H1919,8)</f>
        <v>Home &amp; Garden</v>
      </c>
    </row>
    <row r="921" spans="1:14" x14ac:dyDescent="0.35">
      <c r="A921">
        <v>920</v>
      </c>
      <c r="B921">
        <v>60</v>
      </c>
      <c r="C921" t="s">
        <v>13</v>
      </c>
      <c r="D921">
        <v>44555</v>
      </c>
      <c r="E921">
        <v>84</v>
      </c>
      <c r="F921">
        <v>7</v>
      </c>
      <c r="G921">
        <v>28</v>
      </c>
      <c r="H921" t="s">
        <v>15</v>
      </c>
      <c r="I921">
        <v>678.42</v>
      </c>
      <c r="J921" s="1" t="str">
        <f t="shared" si="42"/>
        <v>valid</v>
      </c>
      <c r="K921" t="e">
        <f t="shared" ca="1" si="43"/>
        <v>#NAME?</v>
      </c>
      <c r="L921" t="str">
        <f>IF(E921&gt;=80,"High Value","Normal")</f>
        <v>High Value</v>
      </c>
      <c r="M921" s="2" t="str">
        <f t="shared" si="44"/>
        <v>YES</v>
      </c>
      <c r="N921" t="str">
        <f>VLOOKUP(A921,A920:H1920,8)</f>
        <v>Electronics</v>
      </c>
    </row>
    <row r="922" spans="1:14" x14ac:dyDescent="0.35">
      <c r="A922">
        <v>921</v>
      </c>
      <c r="B922">
        <v>66</v>
      </c>
      <c r="C922" t="s">
        <v>16</v>
      </c>
      <c r="D922">
        <v>122436</v>
      </c>
      <c r="E922">
        <v>73</v>
      </c>
      <c r="F922">
        <v>7</v>
      </c>
      <c r="G922">
        <v>47</v>
      </c>
      <c r="H922" t="s">
        <v>14</v>
      </c>
      <c r="I922">
        <v>666.62</v>
      </c>
      <c r="J922" s="1" t="str">
        <f t="shared" si="42"/>
        <v>valid</v>
      </c>
      <c r="K922" t="e">
        <f t="shared" ca="1" si="43"/>
        <v>#NAME?</v>
      </c>
      <c r="L922" t="str">
        <f>IF(E922&gt;=80,"High Value","Normal")</f>
        <v>Normal</v>
      </c>
      <c r="M922" s="2" t="str">
        <f t="shared" si="44"/>
        <v>YES</v>
      </c>
      <c r="N922" t="str">
        <f>VLOOKUP(A922,A921:H1921,8)</f>
        <v>Home &amp; Garden</v>
      </c>
    </row>
    <row r="923" spans="1:14" x14ac:dyDescent="0.35">
      <c r="A923">
        <v>922</v>
      </c>
      <c r="B923">
        <v>58</v>
      </c>
      <c r="C923" t="s">
        <v>16</v>
      </c>
      <c r="D923">
        <v>105157</v>
      </c>
      <c r="E923">
        <v>51</v>
      </c>
      <c r="F923">
        <v>3</v>
      </c>
      <c r="G923">
        <v>27</v>
      </c>
      <c r="H923" t="s">
        <v>12</v>
      </c>
      <c r="I923">
        <v>344.39</v>
      </c>
      <c r="J923" s="1" t="str">
        <f t="shared" si="42"/>
        <v>valid</v>
      </c>
      <c r="K923" t="e">
        <f t="shared" ca="1" si="43"/>
        <v>#NAME?</v>
      </c>
      <c r="L923" t="str">
        <f>IF(E923&gt;=80,"High Value","Normal")</f>
        <v>Normal</v>
      </c>
      <c r="M923" s="2" t="str">
        <f t="shared" si="44"/>
        <v>YES</v>
      </c>
      <c r="N923" t="str">
        <f>VLOOKUP(A923,A922:H1922,8)</f>
        <v>Clothing</v>
      </c>
    </row>
    <row r="924" spans="1:14" x14ac:dyDescent="0.35">
      <c r="A924">
        <v>923</v>
      </c>
      <c r="B924">
        <v>68</v>
      </c>
      <c r="C924" t="s">
        <v>16</v>
      </c>
      <c r="D924">
        <v>107702</v>
      </c>
      <c r="E924">
        <v>73</v>
      </c>
      <c r="F924">
        <v>4</v>
      </c>
      <c r="G924">
        <v>2</v>
      </c>
      <c r="H924" t="s">
        <v>11</v>
      </c>
      <c r="I924">
        <v>136.03</v>
      </c>
      <c r="J924" s="1" t="str">
        <f t="shared" si="42"/>
        <v>valid</v>
      </c>
      <c r="K924" t="e">
        <f t="shared" ca="1" si="43"/>
        <v>#NAME?</v>
      </c>
      <c r="L924" t="str">
        <f>IF(E924&gt;=80,"High Value","Normal")</f>
        <v>Normal</v>
      </c>
      <c r="M924" s="2" t="b">
        <f t="shared" si="44"/>
        <v>0</v>
      </c>
      <c r="N924" t="str">
        <f>VLOOKUP(A924,A923:H1923,8)</f>
        <v>Sports</v>
      </c>
    </row>
    <row r="925" spans="1:14" x14ac:dyDescent="0.35">
      <c r="A925">
        <v>924</v>
      </c>
      <c r="B925">
        <v>20</v>
      </c>
      <c r="C925" t="s">
        <v>16</v>
      </c>
      <c r="D925">
        <v>88778</v>
      </c>
      <c r="E925">
        <v>56</v>
      </c>
      <c r="F925">
        <v>2</v>
      </c>
      <c r="G925">
        <v>28</v>
      </c>
      <c r="H925" t="s">
        <v>10</v>
      </c>
      <c r="I925">
        <v>240.93</v>
      </c>
      <c r="J925" s="1" t="str">
        <f t="shared" si="42"/>
        <v>valid</v>
      </c>
      <c r="K925" t="e">
        <f t="shared" ca="1" si="43"/>
        <v>#NAME?</v>
      </c>
      <c r="L925" t="str">
        <f>IF(E925&gt;=80,"High Value","Normal")</f>
        <v>Normal</v>
      </c>
      <c r="M925" s="2" t="b">
        <f t="shared" si="44"/>
        <v>0</v>
      </c>
      <c r="N925" t="str">
        <f>VLOOKUP(A925,A924:H1924,8)</f>
        <v>Groceries</v>
      </c>
    </row>
    <row r="926" spans="1:14" x14ac:dyDescent="0.35">
      <c r="A926">
        <v>925</v>
      </c>
      <c r="B926">
        <v>53</v>
      </c>
      <c r="C926" t="s">
        <v>13</v>
      </c>
      <c r="D926">
        <v>32539</v>
      </c>
      <c r="E926">
        <v>22</v>
      </c>
      <c r="F926">
        <v>6</v>
      </c>
      <c r="G926">
        <v>42</v>
      </c>
      <c r="H926" t="s">
        <v>14</v>
      </c>
      <c r="I926">
        <v>536.05999999999995</v>
      </c>
      <c r="J926" s="1" t="str">
        <f t="shared" si="42"/>
        <v>valid</v>
      </c>
      <c r="K926" t="e">
        <f t="shared" ca="1" si="43"/>
        <v>#NAME?</v>
      </c>
      <c r="L926" t="str">
        <f>IF(E926&gt;=80,"High Value","Normal")</f>
        <v>Normal</v>
      </c>
      <c r="M926" s="2" t="str">
        <f t="shared" si="44"/>
        <v>YES</v>
      </c>
      <c r="N926" t="str">
        <f>VLOOKUP(A926,A925:H1925,8)</f>
        <v>Home &amp; Garden</v>
      </c>
    </row>
    <row r="927" spans="1:14" x14ac:dyDescent="0.35">
      <c r="A927">
        <v>926</v>
      </c>
      <c r="B927">
        <v>39</v>
      </c>
      <c r="C927" t="s">
        <v>9</v>
      </c>
      <c r="D927">
        <v>53091</v>
      </c>
      <c r="E927">
        <v>41</v>
      </c>
      <c r="F927">
        <v>9</v>
      </c>
      <c r="G927">
        <v>3</v>
      </c>
      <c r="H927" t="s">
        <v>10</v>
      </c>
      <c r="I927">
        <v>12.45</v>
      </c>
      <c r="J927" s="1" t="str">
        <f t="shared" si="42"/>
        <v>valid</v>
      </c>
      <c r="K927" t="e">
        <f t="shared" ca="1" si="43"/>
        <v>#NAME?</v>
      </c>
      <c r="L927" t="str">
        <f>IF(E927&gt;=80,"High Value","Normal")</f>
        <v>Normal</v>
      </c>
      <c r="M927" s="2" t="b">
        <f t="shared" si="44"/>
        <v>0</v>
      </c>
      <c r="N927" t="str">
        <f>VLOOKUP(A927,A926:H1926,8)</f>
        <v>Groceries</v>
      </c>
    </row>
    <row r="928" spans="1:14" x14ac:dyDescent="0.35">
      <c r="A928">
        <v>927</v>
      </c>
      <c r="B928">
        <v>46</v>
      </c>
      <c r="C928" t="s">
        <v>13</v>
      </c>
      <c r="D928">
        <v>46368</v>
      </c>
      <c r="E928">
        <v>11</v>
      </c>
      <c r="F928">
        <v>7</v>
      </c>
      <c r="G928">
        <v>17</v>
      </c>
      <c r="H928" t="s">
        <v>14</v>
      </c>
      <c r="I928">
        <v>869.05</v>
      </c>
      <c r="J928" s="1" t="str">
        <f t="shared" si="42"/>
        <v>valid</v>
      </c>
      <c r="K928" t="e">
        <f t="shared" ca="1" si="43"/>
        <v>#NAME?</v>
      </c>
      <c r="L928" t="str">
        <f>IF(E928&gt;=80,"High Value","Normal")</f>
        <v>Normal</v>
      </c>
      <c r="M928" s="2" t="b">
        <f t="shared" si="44"/>
        <v>0</v>
      </c>
      <c r="N928" t="str">
        <f>VLOOKUP(A928,A927:H1927,8)</f>
        <v>Home &amp; Garden</v>
      </c>
    </row>
    <row r="929" spans="1:14" x14ac:dyDescent="0.35">
      <c r="A929">
        <v>928</v>
      </c>
      <c r="B929">
        <v>28</v>
      </c>
      <c r="C929" t="s">
        <v>16</v>
      </c>
      <c r="D929">
        <v>134592</v>
      </c>
      <c r="E929">
        <v>43</v>
      </c>
      <c r="F929">
        <v>10</v>
      </c>
      <c r="G929">
        <v>25</v>
      </c>
      <c r="H929" t="s">
        <v>12</v>
      </c>
      <c r="I929">
        <v>557.04</v>
      </c>
      <c r="J929" s="1" t="str">
        <f t="shared" si="42"/>
        <v>valid</v>
      </c>
      <c r="K929" t="e">
        <f t="shared" ca="1" si="43"/>
        <v>#NAME?</v>
      </c>
      <c r="L929" t="str">
        <f>IF(E929&gt;=80,"High Value","Normal")</f>
        <v>Normal</v>
      </c>
      <c r="M929" s="2" t="b">
        <f t="shared" si="44"/>
        <v>0</v>
      </c>
      <c r="N929" t="str">
        <f>VLOOKUP(A929,A928:H1928,8)</f>
        <v>Clothing</v>
      </c>
    </row>
    <row r="930" spans="1:14" x14ac:dyDescent="0.35">
      <c r="A930">
        <v>929</v>
      </c>
      <c r="B930">
        <v>35</v>
      </c>
      <c r="C930" t="s">
        <v>16</v>
      </c>
      <c r="D930">
        <v>48768</v>
      </c>
      <c r="E930">
        <v>43</v>
      </c>
      <c r="F930">
        <v>2</v>
      </c>
      <c r="G930">
        <v>5</v>
      </c>
      <c r="H930" t="s">
        <v>15</v>
      </c>
      <c r="I930">
        <v>746.74</v>
      </c>
      <c r="J930" s="1" t="str">
        <f t="shared" si="42"/>
        <v>valid</v>
      </c>
      <c r="K930" t="e">
        <f t="shared" ca="1" si="43"/>
        <v>#NAME?</v>
      </c>
      <c r="L930" t="str">
        <f>IF(E930&gt;=80,"High Value","Normal")</f>
        <v>Normal</v>
      </c>
      <c r="M930" s="2" t="b">
        <f t="shared" si="44"/>
        <v>0</v>
      </c>
      <c r="N930" t="str">
        <f>VLOOKUP(A930,A929:H1929,8)</f>
        <v>Electronics</v>
      </c>
    </row>
    <row r="931" spans="1:14" x14ac:dyDescent="0.35">
      <c r="A931">
        <v>930</v>
      </c>
      <c r="B931">
        <v>42</v>
      </c>
      <c r="C931" t="s">
        <v>13</v>
      </c>
      <c r="D931">
        <v>128064</v>
      </c>
      <c r="E931">
        <v>8</v>
      </c>
      <c r="F931">
        <v>8</v>
      </c>
      <c r="G931">
        <v>44</v>
      </c>
      <c r="H931" t="s">
        <v>10</v>
      </c>
      <c r="I931">
        <v>316.5</v>
      </c>
      <c r="J931" s="1" t="str">
        <f t="shared" si="42"/>
        <v>valid</v>
      </c>
      <c r="K931" t="e">
        <f t="shared" ca="1" si="43"/>
        <v>#NAME?</v>
      </c>
      <c r="L931" t="str">
        <f>IF(E931&gt;=80,"High Value","Normal")</f>
        <v>Normal</v>
      </c>
      <c r="M931" s="2" t="str">
        <f t="shared" si="44"/>
        <v>YES</v>
      </c>
      <c r="N931" t="str">
        <f>VLOOKUP(A931,A930:H1930,8)</f>
        <v>Groceries</v>
      </c>
    </row>
    <row r="932" spans="1:14" x14ac:dyDescent="0.35">
      <c r="A932">
        <v>931</v>
      </c>
      <c r="B932">
        <v>59</v>
      </c>
      <c r="C932" t="s">
        <v>16</v>
      </c>
      <c r="D932">
        <v>48329</v>
      </c>
      <c r="E932">
        <v>6</v>
      </c>
      <c r="F932">
        <v>8</v>
      </c>
      <c r="G932">
        <v>26</v>
      </c>
      <c r="H932" t="s">
        <v>14</v>
      </c>
      <c r="I932">
        <v>36.76</v>
      </c>
      <c r="J932" s="1" t="str">
        <f t="shared" si="42"/>
        <v>valid</v>
      </c>
      <c r="K932" t="e">
        <f t="shared" ca="1" si="43"/>
        <v>#NAME?</v>
      </c>
      <c r="L932" t="str">
        <f>IF(E932&gt;=80,"High Value","Normal")</f>
        <v>Normal</v>
      </c>
      <c r="M932" s="2" t="str">
        <f t="shared" si="44"/>
        <v>YES</v>
      </c>
      <c r="N932" t="str">
        <f>VLOOKUP(A932,A931:H1931,8)</f>
        <v>Home &amp; Garden</v>
      </c>
    </row>
    <row r="933" spans="1:14" x14ac:dyDescent="0.35">
      <c r="A933">
        <v>932</v>
      </c>
      <c r="B933">
        <v>31</v>
      </c>
      <c r="C933" t="s">
        <v>13</v>
      </c>
      <c r="D933">
        <v>30969</v>
      </c>
      <c r="E933">
        <v>32</v>
      </c>
      <c r="F933">
        <v>9</v>
      </c>
      <c r="G933">
        <v>11</v>
      </c>
      <c r="H933" t="s">
        <v>11</v>
      </c>
      <c r="I933">
        <v>562.47</v>
      </c>
      <c r="J933" s="1" t="str">
        <f t="shared" si="42"/>
        <v>valid</v>
      </c>
      <c r="K933" t="e">
        <f t="shared" ca="1" si="43"/>
        <v>#NAME?</v>
      </c>
      <c r="L933" t="str">
        <f>IF(E933&gt;=80,"High Value","Normal")</f>
        <v>Normal</v>
      </c>
      <c r="M933" s="2" t="b">
        <f t="shared" si="44"/>
        <v>0</v>
      </c>
      <c r="N933" t="str">
        <f>VLOOKUP(A933,A932:H1932,8)</f>
        <v>Sports</v>
      </c>
    </row>
    <row r="934" spans="1:14" x14ac:dyDescent="0.35">
      <c r="A934">
        <v>933</v>
      </c>
      <c r="B934">
        <v>18</v>
      </c>
      <c r="C934" t="s">
        <v>16</v>
      </c>
      <c r="D934">
        <v>117893</v>
      </c>
      <c r="E934">
        <v>84</v>
      </c>
      <c r="F934">
        <v>3</v>
      </c>
      <c r="G934">
        <v>24</v>
      </c>
      <c r="H934" t="s">
        <v>15</v>
      </c>
      <c r="I934">
        <v>413.27</v>
      </c>
      <c r="J934" s="1" t="str">
        <f t="shared" si="42"/>
        <v>valid</v>
      </c>
      <c r="K934" t="e">
        <f t="shared" ca="1" si="43"/>
        <v>#NAME?</v>
      </c>
      <c r="L934" t="str">
        <f>IF(E934&gt;=80,"High Value","Normal")</f>
        <v>High Value</v>
      </c>
      <c r="M934" s="2" t="b">
        <f t="shared" si="44"/>
        <v>0</v>
      </c>
      <c r="N934" t="str">
        <f>VLOOKUP(A934,A933:H1933,8)</f>
        <v>Electronics</v>
      </c>
    </row>
    <row r="935" spans="1:14" x14ac:dyDescent="0.35">
      <c r="A935">
        <v>934</v>
      </c>
      <c r="B935">
        <v>47</v>
      </c>
      <c r="C935" t="s">
        <v>16</v>
      </c>
      <c r="D935">
        <v>138152</v>
      </c>
      <c r="E935">
        <v>53</v>
      </c>
      <c r="F935">
        <v>2</v>
      </c>
      <c r="G935">
        <v>38</v>
      </c>
      <c r="H935" t="s">
        <v>10</v>
      </c>
      <c r="I935">
        <v>129.08000000000001</v>
      </c>
      <c r="J935" s="1" t="str">
        <f t="shared" si="42"/>
        <v>valid</v>
      </c>
      <c r="K935" t="e">
        <f t="shared" ca="1" si="43"/>
        <v>#NAME?</v>
      </c>
      <c r="L935" t="str">
        <f>IF(E935&gt;=80,"High Value","Normal")</f>
        <v>Normal</v>
      </c>
      <c r="M935" s="2" t="str">
        <f t="shared" si="44"/>
        <v>YES</v>
      </c>
      <c r="N935" t="str">
        <f>VLOOKUP(A935,A934:H1934,8)</f>
        <v>Groceries</v>
      </c>
    </row>
    <row r="936" spans="1:14" x14ac:dyDescent="0.35">
      <c r="A936">
        <v>935</v>
      </c>
      <c r="B936">
        <v>48</v>
      </c>
      <c r="C936" t="s">
        <v>13</v>
      </c>
      <c r="D936">
        <v>129592</v>
      </c>
      <c r="E936">
        <v>2</v>
      </c>
      <c r="F936">
        <v>3</v>
      </c>
      <c r="G936">
        <v>26</v>
      </c>
      <c r="H936" t="s">
        <v>12</v>
      </c>
      <c r="I936">
        <v>748.46</v>
      </c>
      <c r="J936" s="1" t="str">
        <f t="shared" si="42"/>
        <v>valid</v>
      </c>
      <c r="K936" t="e">
        <f t="shared" ca="1" si="43"/>
        <v>#NAME?</v>
      </c>
      <c r="L936" t="str">
        <f>IF(E936&gt;=80,"High Value","Normal")</f>
        <v>Normal</v>
      </c>
      <c r="M936" s="2" t="str">
        <f t="shared" si="44"/>
        <v>YES</v>
      </c>
      <c r="N936" t="str">
        <f>VLOOKUP(A936,A935:H1935,8)</f>
        <v>Clothing</v>
      </c>
    </row>
    <row r="937" spans="1:14" x14ac:dyDescent="0.35">
      <c r="A937">
        <v>936</v>
      </c>
      <c r="B937">
        <v>51</v>
      </c>
      <c r="C937" t="s">
        <v>16</v>
      </c>
      <c r="D937">
        <v>148784</v>
      </c>
      <c r="E937">
        <v>17</v>
      </c>
      <c r="F937">
        <v>1</v>
      </c>
      <c r="G937">
        <v>50</v>
      </c>
      <c r="H937" t="s">
        <v>14</v>
      </c>
      <c r="I937">
        <v>302.81</v>
      </c>
      <c r="J937" s="1" t="str">
        <f t="shared" si="42"/>
        <v>valid</v>
      </c>
      <c r="K937" t="e">
        <f t="shared" ca="1" si="43"/>
        <v>#NAME?</v>
      </c>
      <c r="L937" t="str">
        <f>IF(E937&gt;=80,"High Value","Normal")</f>
        <v>Normal</v>
      </c>
      <c r="M937" s="2" t="str">
        <f t="shared" si="44"/>
        <v>YES</v>
      </c>
      <c r="N937" t="str">
        <f>VLOOKUP(A937,A936:H1936,8)</f>
        <v>Home &amp; Garden</v>
      </c>
    </row>
    <row r="938" spans="1:14" x14ac:dyDescent="0.35">
      <c r="A938">
        <v>937</v>
      </c>
      <c r="B938">
        <v>43</v>
      </c>
      <c r="C938" t="s">
        <v>9</v>
      </c>
      <c r="D938">
        <v>42201</v>
      </c>
      <c r="E938">
        <v>76</v>
      </c>
      <c r="F938">
        <v>1</v>
      </c>
      <c r="G938">
        <v>50</v>
      </c>
      <c r="H938" t="s">
        <v>14</v>
      </c>
      <c r="I938">
        <v>106.48</v>
      </c>
      <c r="J938" s="1" t="str">
        <f t="shared" si="42"/>
        <v>valid</v>
      </c>
      <c r="K938" t="e">
        <f t="shared" ca="1" si="43"/>
        <v>#NAME?</v>
      </c>
      <c r="L938" t="str">
        <f>IF(E938&gt;=80,"High Value","Normal")</f>
        <v>Normal</v>
      </c>
      <c r="M938" s="2" t="str">
        <f t="shared" si="44"/>
        <v>YES</v>
      </c>
      <c r="N938" t="str">
        <f>VLOOKUP(A938,A937:H1937,8)</f>
        <v>Home &amp; Garden</v>
      </c>
    </row>
    <row r="939" spans="1:14" x14ac:dyDescent="0.35">
      <c r="A939">
        <v>938</v>
      </c>
      <c r="B939">
        <v>64</v>
      </c>
      <c r="C939" t="s">
        <v>13</v>
      </c>
      <c r="D939">
        <v>65498</v>
      </c>
      <c r="E939">
        <v>23</v>
      </c>
      <c r="F939">
        <v>5</v>
      </c>
      <c r="G939">
        <v>24</v>
      </c>
      <c r="H939" t="s">
        <v>12</v>
      </c>
      <c r="I939">
        <v>351.94</v>
      </c>
      <c r="J939" s="1" t="str">
        <f t="shared" si="42"/>
        <v>valid</v>
      </c>
      <c r="K939" t="e">
        <f t="shared" ca="1" si="43"/>
        <v>#NAME?</v>
      </c>
      <c r="L939" t="str">
        <f>IF(E939&gt;=80,"High Value","Normal")</f>
        <v>Normal</v>
      </c>
      <c r="M939" s="2" t="str">
        <f t="shared" si="44"/>
        <v>YES</v>
      </c>
      <c r="N939" t="str">
        <f>VLOOKUP(A939,A938:H1938,8)</f>
        <v>Clothing</v>
      </c>
    </row>
    <row r="940" spans="1:14" x14ac:dyDescent="0.35">
      <c r="A940">
        <v>939</v>
      </c>
      <c r="B940">
        <v>37</v>
      </c>
      <c r="C940" t="s">
        <v>16</v>
      </c>
      <c r="D940">
        <v>70213</v>
      </c>
      <c r="E940">
        <v>84</v>
      </c>
      <c r="F940">
        <v>3</v>
      </c>
      <c r="G940">
        <v>37</v>
      </c>
      <c r="H940" t="s">
        <v>14</v>
      </c>
      <c r="I940">
        <v>785.53</v>
      </c>
      <c r="J940" s="1" t="str">
        <f t="shared" si="42"/>
        <v>valid</v>
      </c>
      <c r="K940" t="e">
        <f t="shared" ca="1" si="43"/>
        <v>#NAME?</v>
      </c>
      <c r="L940" t="str">
        <f>IF(E940&gt;=80,"High Value","Normal")</f>
        <v>High Value</v>
      </c>
      <c r="M940" s="2" t="str">
        <f t="shared" si="44"/>
        <v>YES</v>
      </c>
      <c r="N940" t="str">
        <f>VLOOKUP(A940,A939:H1939,8)</f>
        <v>Home &amp; Garden</v>
      </c>
    </row>
    <row r="941" spans="1:14" x14ac:dyDescent="0.35">
      <c r="A941">
        <v>940</v>
      </c>
      <c r="B941">
        <v>56</v>
      </c>
      <c r="C941" t="s">
        <v>9</v>
      </c>
      <c r="D941">
        <v>51736</v>
      </c>
      <c r="E941">
        <v>3</v>
      </c>
      <c r="F941">
        <v>9</v>
      </c>
      <c r="G941">
        <v>25</v>
      </c>
      <c r="H941" t="s">
        <v>14</v>
      </c>
      <c r="I941">
        <v>666.01</v>
      </c>
      <c r="J941" s="1" t="str">
        <f t="shared" si="42"/>
        <v>valid</v>
      </c>
      <c r="K941" t="e">
        <f t="shared" ca="1" si="43"/>
        <v>#NAME?</v>
      </c>
      <c r="L941" t="str">
        <f>IF(E941&gt;=80,"High Value","Normal")</f>
        <v>Normal</v>
      </c>
      <c r="M941" s="2" t="str">
        <f t="shared" si="44"/>
        <v>YES</v>
      </c>
      <c r="N941" t="str">
        <f>VLOOKUP(A941,A940:H1940,8)</f>
        <v>Home &amp; Garden</v>
      </c>
    </row>
    <row r="942" spans="1:14" x14ac:dyDescent="0.35">
      <c r="A942">
        <v>941</v>
      </c>
      <c r="B942">
        <v>54</v>
      </c>
      <c r="C942" t="s">
        <v>16</v>
      </c>
      <c r="D942">
        <v>33706</v>
      </c>
      <c r="E942">
        <v>64</v>
      </c>
      <c r="F942">
        <v>9</v>
      </c>
      <c r="G942">
        <v>1</v>
      </c>
      <c r="H942" t="s">
        <v>12</v>
      </c>
      <c r="I942">
        <v>371.93</v>
      </c>
      <c r="J942" s="1" t="str">
        <f t="shared" si="42"/>
        <v>valid</v>
      </c>
      <c r="K942" t="e">
        <f t="shared" ca="1" si="43"/>
        <v>#NAME?</v>
      </c>
      <c r="L942" t="str">
        <f>IF(E942&gt;=80,"High Value","Normal")</f>
        <v>Normal</v>
      </c>
      <c r="M942" s="2" t="b">
        <f t="shared" si="44"/>
        <v>0</v>
      </c>
      <c r="N942" t="str">
        <f>VLOOKUP(A942,A941:H1941,8)</f>
        <v>Clothing</v>
      </c>
    </row>
    <row r="943" spans="1:14" x14ac:dyDescent="0.35">
      <c r="A943">
        <v>942</v>
      </c>
      <c r="B943">
        <v>36</v>
      </c>
      <c r="C943" t="s">
        <v>16</v>
      </c>
      <c r="D943">
        <v>33087</v>
      </c>
      <c r="E943">
        <v>69</v>
      </c>
      <c r="F943">
        <v>7</v>
      </c>
      <c r="G943">
        <v>21</v>
      </c>
      <c r="H943" t="s">
        <v>11</v>
      </c>
      <c r="I943">
        <v>651.79999999999995</v>
      </c>
      <c r="J943" s="1" t="str">
        <f t="shared" si="42"/>
        <v>valid</v>
      </c>
      <c r="K943" t="e">
        <f t="shared" ca="1" si="43"/>
        <v>#NAME?</v>
      </c>
      <c r="L943" t="str">
        <f>IF(E943&gt;=80,"High Value","Normal")</f>
        <v>Normal</v>
      </c>
      <c r="M943" s="2" t="str">
        <f t="shared" si="44"/>
        <v>YES</v>
      </c>
      <c r="N943" t="str">
        <f>VLOOKUP(A943,A942:H1942,8)</f>
        <v>Sports</v>
      </c>
    </row>
    <row r="944" spans="1:14" x14ac:dyDescent="0.35">
      <c r="A944">
        <v>943</v>
      </c>
      <c r="B944">
        <v>54</v>
      </c>
      <c r="C944" t="s">
        <v>9</v>
      </c>
      <c r="D944">
        <v>140081</v>
      </c>
      <c r="E944">
        <v>100</v>
      </c>
      <c r="F944">
        <v>1</v>
      </c>
      <c r="G944">
        <v>25</v>
      </c>
      <c r="H944" t="s">
        <v>15</v>
      </c>
      <c r="I944">
        <v>30.51</v>
      </c>
      <c r="J944" s="1" t="str">
        <f t="shared" si="42"/>
        <v>valid</v>
      </c>
      <c r="K944" t="e">
        <f t="shared" ca="1" si="43"/>
        <v>#NAME?</v>
      </c>
      <c r="L944" t="str">
        <f>IF(E944&gt;=80,"High Value","Normal")</f>
        <v>High Value</v>
      </c>
      <c r="M944" s="2" t="str">
        <f t="shared" si="44"/>
        <v>YES</v>
      </c>
      <c r="N944" t="str">
        <f>VLOOKUP(A944,A943:H1943,8)</f>
        <v>Electronics</v>
      </c>
    </row>
    <row r="945" spans="1:14" x14ac:dyDescent="0.35">
      <c r="A945">
        <v>944</v>
      </c>
      <c r="B945">
        <v>47</v>
      </c>
      <c r="C945" t="s">
        <v>13</v>
      </c>
      <c r="D945">
        <v>37014</v>
      </c>
      <c r="E945">
        <v>76</v>
      </c>
      <c r="F945">
        <v>5</v>
      </c>
      <c r="G945">
        <v>34</v>
      </c>
      <c r="H945" t="s">
        <v>15</v>
      </c>
      <c r="I945">
        <v>880.18</v>
      </c>
      <c r="J945" s="1" t="str">
        <f t="shared" si="42"/>
        <v>valid</v>
      </c>
      <c r="K945" t="e">
        <f t="shared" ca="1" si="43"/>
        <v>#NAME?</v>
      </c>
      <c r="L945" t="str">
        <f>IF(E945&gt;=80,"High Value","Normal")</f>
        <v>Normal</v>
      </c>
      <c r="M945" s="2" t="str">
        <f t="shared" si="44"/>
        <v>YES</v>
      </c>
      <c r="N945" t="str">
        <f>VLOOKUP(A945,A944:H1944,8)</f>
        <v>Electronics</v>
      </c>
    </row>
    <row r="946" spans="1:14" x14ac:dyDescent="0.35">
      <c r="A946">
        <v>945</v>
      </c>
      <c r="B946">
        <v>65</v>
      </c>
      <c r="C946" t="s">
        <v>16</v>
      </c>
      <c r="D946">
        <v>42779</v>
      </c>
      <c r="E946">
        <v>81</v>
      </c>
      <c r="F946">
        <v>5</v>
      </c>
      <c r="G946">
        <v>38</v>
      </c>
      <c r="H946" t="s">
        <v>12</v>
      </c>
      <c r="I946">
        <v>594.91999999999996</v>
      </c>
      <c r="J946" s="1" t="str">
        <f t="shared" si="42"/>
        <v>valid</v>
      </c>
      <c r="K946" t="e">
        <f t="shared" ca="1" si="43"/>
        <v>#NAME?</v>
      </c>
      <c r="L946" t="str">
        <f>IF(E946&gt;=80,"High Value","Normal")</f>
        <v>High Value</v>
      </c>
      <c r="M946" s="2" t="str">
        <f t="shared" si="44"/>
        <v>YES</v>
      </c>
      <c r="N946" t="str">
        <f>VLOOKUP(A946,A945:H1945,8)</f>
        <v>Clothing</v>
      </c>
    </row>
    <row r="947" spans="1:14" x14ac:dyDescent="0.35">
      <c r="A947">
        <v>946</v>
      </c>
      <c r="B947">
        <v>59</v>
      </c>
      <c r="C947" t="s">
        <v>16</v>
      </c>
      <c r="D947">
        <v>149936</v>
      </c>
      <c r="E947">
        <v>80</v>
      </c>
      <c r="F947">
        <v>7</v>
      </c>
      <c r="G947">
        <v>37</v>
      </c>
      <c r="H947" t="s">
        <v>10</v>
      </c>
      <c r="I947">
        <v>406.6</v>
      </c>
      <c r="J947" s="1" t="str">
        <f t="shared" si="42"/>
        <v>valid</v>
      </c>
      <c r="K947" t="e">
        <f t="shared" ca="1" si="43"/>
        <v>#NAME?</v>
      </c>
      <c r="L947" t="str">
        <f>IF(E947&gt;=80,"High Value","Normal")</f>
        <v>High Value</v>
      </c>
      <c r="M947" s="2" t="str">
        <f t="shared" si="44"/>
        <v>YES</v>
      </c>
      <c r="N947" t="str">
        <f>VLOOKUP(A947,A946:H1946,8)</f>
        <v>Groceries</v>
      </c>
    </row>
    <row r="948" spans="1:14" x14ac:dyDescent="0.35">
      <c r="A948">
        <v>947</v>
      </c>
      <c r="B948">
        <v>60</v>
      </c>
      <c r="C948" t="s">
        <v>13</v>
      </c>
      <c r="D948">
        <v>111493</v>
      </c>
      <c r="E948">
        <v>40</v>
      </c>
      <c r="F948">
        <v>10</v>
      </c>
      <c r="G948">
        <v>8</v>
      </c>
      <c r="H948" t="s">
        <v>10</v>
      </c>
      <c r="I948">
        <v>190.34</v>
      </c>
      <c r="J948" s="1" t="str">
        <f t="shared" si="42"/>
        <v>valid</v>
      </c>
      <c r="K948" t="e">
        <f t="shared" ca="1" si="43"/>
        <v>#NAME?</v>
      </c>
      <c r="L948" t="str">
        <f>IF(E948&gt;=80,"High Value","Normal")</f>
        <v>Normal</v>
      </c>
      <c r="M948" s="2" t="b">
        <f t="shared" si="44"/>
        <v>0</v>
      </c>
      <c r="N948" t="str">
        <f>VLOOKUP(A948,A947:H1947,8)</f>
        <v>Groceries</v>
      </c>
    </row>
    <row r="949" spans="1:14" x14ac:dyDescent="0.35">
      <c r="A949">
        <v>948</v>
      </c>
      <c r="B949">
        <v>21</v>
      </c>
      <c r="C949" t="s">
        <v>13</v>
      </c>
      <c r="D949">
        <v>117520</v>
      </c>
      <c r="E949">
        <v>34</v>
      </c>
      <c r="F949">
        <v>3</v>
      </c>
      <c r="G949">
        <v>32</v>
      </c>
      <c r="H949" t="s">
        <v>11</v>
      </c>
      <c r="I949">
        <v>256.98</v>
      </c>
      <c r="J949" s="1" t="str">
        <f t="shared" si="42"/>
        <v>valid</v>
      </c>
      <c r="K949" t="e">
        <f t="shared" ca="1" si="43"/>
        <v>#NAME?</v>
      </c>
      <c r="L949" t="str">
        <f>IF(E949&gt;=80,"High Value","Normal")</f>
        <v>Normal</v>
      </c>
      <c r="M949" s="2" t="b">
        <f t="shared" si="44"/>
        <v>0</v>
      </c>
      <c r="N949" t="str">
        <f>VLOOKUP(A949,A948:H1948,8)</f>
        <v>Sports</v>
      </c>
    </row>
    <row r="950" spans="1:14" x14ac:dyDescent="0.35">
      <c r="A950">
        <v>949</v>
      </c>
      <c r="B950">
        <v>62</v>
      </c>
      <c r="C950" t="s">
        <v>13</v>
      </c>
      <c r="D950">
        <v>128667</v>
      </c>
      <c r="E950">
        <v>37</v>
      </c>
      <c r="F950">
        <v>5</v>
      </c>
      <c r="G950">
        <v>17</v>
      </c>
      <c r="H950" t="s">
        <v>11</v>
      </c>
      <c r="I950">
        <v>150.62</v>
      </c>
      <c r="J950" s="1" t="str">
        <f t="shared" si="42"/>
        <v>valid</v>
      </c>
      <c r="K950" t="e">
        <f t="shared" ca="1" si="43"/>
        <v>#NAME?</v>
      </c>
      <c r="L950" t="str">
        <f>IF(E950&gt;=80,"High Value","Normal")</f>
        <v>Normal</v>
      </c>
      <c r="M950" s="2" t="b">
        <f t="shared" si="44"/>
        <v>0</v>
      </c>
      <c r="N950" t="str">
        <f>VLOOKUP(A950,A949:H1949,8)</f>
        <v>Sports</v>
      </c>
    </row>
    <row r="951" spans="1:14" x14ac:dyDescent="0.35">
      <c r="A951">
        <v>950</v>
      </c>
      <c r="B951">
        <v>45</v>
      </c>
      <c r="C951" t="s">
        <v>13</v>
      </c>
      <c r="D951">
        <v>114390</v>
      </c>
      <c r="E951">
        <v>38</v>
      </c>
      <c r="F951">
        <v>3</v>
      </c>
      <c r="G951">
        <v>9</v>
      </c>
      <c r="H951" t="s">
        <v>10</v>
      </c>
      <c r="I951">
        <v>663.25</v>
      </c>
      <c r="J951" s="1" t="str">
        <f t="shared" si="42"/>
        <v>valid</v>
      </c>
      <c r="K951" t="e">
        <f t="shared" ca="1" si="43"/>
        <v>#NAME?</v>
      </c>
      <c r="L951" t="str">
        <f>IF(E951&gt;=80,"High Value","Normal")</f>
        <v>Normal</v>
      </c>
      <c r="M951" s="2" t="b">
        <f t="shared" si="44"/>
        <v>0</v>
      </c>
      <c r="N951" t="str">
        <f>VLOOKUP(A951,A950:H1950,8)</f>
        <v>Groceries</v>
      </c>
    </row>
    <row r="952" spans="1:14" x14ac:dyDescent="0.35">
      <c r="A952">
        <v>951</v>
      </c>
      <c r="B952">
        <v>41</v>
      </c>
      <c r="C952" t="s">
        <v>13</v>
      </c>
      <c r="D952">
        <v>134487</v>
      </c>
      <c r="E952">
        <v>7</v>
      </c>
      <c r="F952">
        <v>10</v>
      </c>
      <c r="G952">
        <v>50</v>
      </c>
      <c r="H952" t="s">
        <v>15</v>
      </c>
      <c r="I952">
        <v>556.1</v>
      </c>
      <c r="J952" s="1" t="str">
        <f t="shared" si="42"/>
        <v>valid</v>
      </c>
      <c r="K952" t="e">
        <f t="shared" ca="1" si="43"/>
        <v>#NAME?</v>
      </c>
      <c r="L952" t="str">
        <f>IF(E952&gt;=80,"High Value","Normal")</f>
        <v>Normal</v>
      </c>
      <c r="M952" s="2" t="str">
        <f t="shared" si="44"/>
        <v>YES</v>
      </c>
      <c r="N952" t="str">
        <f>VLOOKUP(A952,A951:H1951,8)</f>
        <v>Electronics</v>
      </c>
    </row>
    <row r="953" spans="1:14" x14ac:dyDescent="0.35">
      <c r="A953">
        <v>952</v>
      </c>
      <c r="B953">
        <v>29</v>
      </c>
      <c r="C953" t="s">
        <v>9</v>
      </c>
      <c r="D953">
        <v>45164</v>
      </c>
      <c r="E953">
        <v>54</v>
      </c>
      <c r="F953">
        <v>8</v>
      </c>
      <c r="G953">
        <v>45</v>
      </c>
      <c r="H953" t="s">
        <v>10</v>
      </c>
      <c r="I953">
        <v>915.62</v>
      </c>
      <c r="J953" s="1" t="str">
        <f t="shared" si="42"/>
        <v>valid</v>
      </c>
      <c r="K953" t="e">
        <f t="shared" ca="1" si="43"/>
        <v>#NAME?</v>
      </c>
      <c r="L953" t="str">
        <f>IF(E953&gt;=80,"High Value","Normal")</f>
        <v>Normal</v>
      </c>
      <c r="M953" s="2" t="b">
        <f t="shared" si="44"/>
        <v>0</v>
      </c>
      <c r="N953" t="str">
        <f>VLOOKUP(A953,A952:H1952,8)</f>
        <v>Groceries</v>
      </c>
    </row>
    <row r="954" spans="1:14" x14ac:dyDescent="0.35">
      <c r="A954">
        <v>953</v>
      </c>
      <c r="B954">
        <v>51</v>
      </c>
      <c r="C954" t="s">
        <v>16</v>
      </c>
      <c r="D954">
        <v>104830</v>
      </c>
      <c r="E954">
        <v>43</v>
      </c>
      <c r="F954">
        <v>9</v>
      </c>
      <c r="G954">
        <v>36</v>
      </c>
      <c r="H954" t="s">
        <v>11</v>
      </c>
      <c r="I954">
        <v>593.91999999999996</v>
      </c>
      <c r="J954" s="1" t="str">
        <f t="shared" si="42"/>
        <v>valid</v>
      </c>
      <c r="K954" t="e">
        <f t="shared" ca="1" si="43"/>
        <v>#NAME?</v>
      </c>
      <c r="L954" t="str">
        <f>IF(E954&gt;=80,"High Value","Normal")</f>
        <v>Normal</v>
      </c>
      <c r="M954" s="2" t="str">
        <f t="shared" si="44"/>
        <v>YES</v>
      </c>
      <c r="N954" t="str">
        <f>VLOOKUP(A954,A953:H1953,8)</f>
        <v>Sports</v>
      </c>
    </row>
    <row r="955" spans="1:14" x14ac:dyDescent="0.35">
      <c r="A955">
        <v>954</v>
      </c>
      <c r="B955">
        <v>44</v>
      </c>
      <c r="C955" t="s">
        <v>16</v>
      </c>
      <c r="D955">
        <v>123822</v>
      </c>
      <c r="E955">
        <v>20</v>
      </c>
      <c r="F955">
        <v>4</v>
      </c>
      <c r="G955">
        <v>8</v>
      </c>
      <c r="H955" t="s">
        <v>15</v>
      </c>
      <c r="I955">
        <v>209.75</v>
      </c>
      <c r="J955" s="1" t="str">
        <f t="shared" si="42"/>
        <v>valid</v>
      </c>
      <c r="K955" t="e">
        <f t="shared" ca="1" si="43"/>
        <v>#NAME?</v>
      </c>
      <c r="L955" t="str">
        <f>IF(E955&gt;=80,"High Value","Normal")</f>
        <v>Normal</v>
      </c>
      <c r="M955" s="2" t="b">
        <f t="shared" si="44"/>
        <v>0</v>
      </c>
      <c r="N955" t="str">
        <f>VLOOKUP(A955,A954:H1954,8)</f>
        <v>Electronics</v>
      </c>
    </row>
    <row r="956" spans="1:14" x14ac:dyDescent="0.35">
      <c r="A956">
        <v>955</v>
      </c>
      <c r="B956">
        <v>30</v>
      </c>
      <c r="C956" t="s">
        <v>16</v>
      </c>
      <c r="D956">
        <v>50661</v>
      </c>
      <c r="E956">
        <v>89</v>
      </c>
      <c r="F956">
        <v>9</v>
      </c>
      <c r="G956">
        <v>22</v>
      </c>
      <c r="H956" t="s">
        <v>11</v>
      </c>
      <c r="I956">
        <v>630.37</v>
      </c>
      <c r="J956" s="1" t="str">
        <f t="shared" si="42"/>
        <v>valid</v>
      </c>
      <c r="K956" t="e">
        <f t="shared" ca="1" si="43"/>
        <v>#NAME?</v>
      </c>
      <c r="L956" t="str">
        <f>IF(E956&gt;=80,"High Value","Normal")</f>
        <v>High Value</v>
      </c>
      <c r="M956" s="2" t="b">
        <f t="shared" si="44"/>
        <v>0</v>
      </c>
      <c r="N956" t="str">
        <f>VLOOKUP(A956,A955:H1955,8)</f>
        <v>Sports</v>
      </c>
    </row>
    <row r="957" spans="1:14" x14ac:dyDescent="0.35">
      <c r="A957">
        <v>956</v>
      </c>
      <c r="B957">
        <v>60</v>
      </c>
      <c r="C957" t="s">
        <v>13</v>
      </c>
      <c r="D957">
        <v>48802</v>
      </c>
      <c r="E957">
        <v>68</v>
      </c>
      <c r="F957">
        <v>1</v>
      </c>
      <c r="G957">
        <v>40</v>
      </c>
      <c r="H957" t="s">
        <v>10</v>
      </c>
      <c r="I957">
        <v>296.76</v>
      </c>
      <c r="J957" s="1" t="str">
        <f t="shared" si="42"/>
        <v>valid</v>
      </c>
      <c r="K957" t="e">
        <f t="shared" ca="1" si="43"/>
        <v>#NAME?</v>
      </c>
      <c r="L957" t="str">
        <f>IF(E957&gt;=80,"High Value","Normal")</f>
        <v>Normal</v>
      </c>
      <c r="M957" s="2" t="str">
        <f t="shared" si="44"/>
        <v>YES</v>
      </c>
      <c r="N957" t="str">
        <f>VLOOKUP(A957,A956:H1956,8)</f>
        <v>Groceries</v>
      </c>
    </row>
    <row r="958" spans="1:14" x14ac:dyDescent="0.35">
      <c r="A958">
        <v>957</v>
      </c>
      <c r="B958">
        <v>60</v>
      </c>
      <c r="C958" t="s">
        <v>9</v>
      </c>
      <c r="D958">
        <v>56429</v>
      </c>
      <c r="E958">
        <v>69</v>
      </c>
      <c r="F958">
        <v>9</v>
      </c>
      <c r="G958">
        <v>32</v>
      </c>
      <c r="H958" t="s">
        <v>10</v>
      </c>
      <c r="I958">
        <v>894.95</v>
      </c>
      <c r="J958" s="1" t="str">
        <f t="shared" si="42"/>
        <v>valid</v>
      </c>
      <c r="K958" t="e">
        <f t="shared" ca="1" si="43"/>
        <v>#NAME?</v>
      </c>
      <c r="L958" t="str">
        <f>IF(E958&gt;=80,"High Value","Normal")</f>
        <v>Normal</v>
      </c>
      <c r="M958" s="2" t="str">
        <f t="shared" si="44"/>
        <v>YES</v>
      </c>
      <c r="N958" t="str">
        <f>VLOOKUP(A958,A957:H1957,8)</f>
        <v>Groceries</v>
      </c>
    </row>
    <row r="959" spans="1:14" x14ac:dyDescent="0.35">
      <c r="A959">
        <v>958</v>
      </c>
      <c r="B959">
        <v>26</v>
      </c>
      <c r="C959" t="s">
        <v>9</v>
      </c>
      <c r="D959">
        <v>41126</v>
      </c>
      <c r="E959">
        <v>37</v>
      </c>
      <c r="F959">
        <v>9</v>
      </c>
      <c r="G959">
        <v>44</v>
      </c>
      <c r="H959" t="s">
        <v>12</v>
      </c>
      <c r="I959">
        <v>100.64</v>
      </c>
      <c r="J959" s="1" t="str">
        <f t="shared" si="42"/>
        <v>valid</v>
      </c>
      <c r="K959" t="e">
        <f t="shared" ca="1" si="43"/>
        <v>#NAME?</v>
      </c>
      <c r="L959" t="str">
        <f>IF(E959&gt;=80,"High Value","Normal")</f>
        <v>Normal</v>
      </c>
      <c r="M959" s="2" t="b">
        <f t="shared" si="44"/>
        <v>0</v>
      </c>
      <c r="N959" t="str">
        <f>VLOOKUP(A959,A958:H1958,8)</f>
        <v>Clothing</v>
      </c>
    </row>
    <row r="960" spans="1:14" x14ac:dyDescent="0.35">
      <c r="A960">
        <v>959</v>
      </c>
      <c r="B960">
        <v>38</v>
      </c>
      <c r="C960" t="s">
        <v>9</v>
      </c>
      <c r="D960">
        <v>99054</v>
      </c>
      <c r="E960">
        <v>59</v>
      </c>
      <c r="F960">
        <v>6</v>
      </c>
      <c r="G960">
        <v>4</v>
      </c>
      <c r="H960" t="s">
        <v>10</v>
      </c>
      <c r="I960">
        <v>174.22</v>
      </c>
      <c r="J960" s="1" t="str">
        <f t="shared" si="42"/>
        <v>valid</v>
      </c>
      <c r="K960" t="e">
        <f t="shared" ca="1" si="43"/>
        <v>#NAME?</v>
      </c>
      <c r="L960" t="str">
        <f>IF(E960&gt;=80,"High Value","Normal")</f>
        <v>Normal</v>
      </c>
      <c r="M960" s="2" t="b">
        <f t="shared" si="44"/>
        <v>0</v>
      </c>
      <c r="N960" t="str">
        <f>VLOOKUP(A960,A959:H1959,8)</f>
        <v>Groceries</v>
      </c>
    </row>
    <row r="961" spans="1:14" x14ac:dyDescent="0.35">
      <c r="A961">
        <v>960</v>
      </c>
      <c r="B961">
        <v>61</v>
      </c>
      <c r="C961" t="s">
        <v>9</v>
      </c>
      <c r="D961">
        <v>50349</v>
      </c>
      <c r="E961">
        <v>76</v>
      </c>
      <c r="F961">
        <v>9</v>
      </c>
      <c r="G961">
        <v>42</v>
      </c>
      <c r="H961" t="s">
        <v>12</v>
      </c>
      <c r="I961">
        <v>957.5</v>
      </c>
      <c r="J961" s="1" t="str">
        <f t="shared" si="42"/>
        <v>valid</v>
      </c>
      <c r="K961" t="e">
        <f t="shared" ca="1" si="43"/>
        <v>#NAME?</v>
      </c>
      <c r="L961" t="str">
        <f>IF(E961&gt;=80,"High Value","Normal")</f>
        <v>Normal</v>
      </c>
      <c r="M961" s="2" t="str">
        <f t="shared" si="44"/>
        <v>YES</v>
      </c>
      <c r="N961" t="str">
        <f>VLOOKUP(A961,A960:H1960,8)</f>
        <v>Clothing</v>
      </c>
    </row>
    <row r="962" spans="1:14" x14ac:dyDescent="0.35">
      <c r="A962">
        <v>961</v>
      </c>
      <c r="B962">
        <v>23</v>
      </c>
      <c r="C962" t="s">
        <v>9</v>
      </c>
      <c r="D962">
        <v>60808</v>
      </c>
      <c r="E962">
        <v>96</v>
      </c>
      <c r="F962">
        <v>2</v>
      </c>
      <c r="G962">
        <v>12</v>
      </c>
      <c r="H962" t="s">
        <v>14</v>
      </c>
      <c r="I962">
        <v>231.03</v>
      </c>
      <c r="J962" s="1" t="str">
        <f t="shared" si="42"/>
        <v>valid</v>
      </c>
      <c r="K962" t="e">
        <f t="shared" ca="1" si="43"/>
        <v>#NAME?</v>
      </c>
      <c r="L962" t="str">
        <f>IF(E962&gt;=80,"High Value","Normal")</f>
        <v>High Value</v>
      </c>
      <c r="M962" s="2" t="b">
        <f t="shared" si="44"/>
        <v>0</v>
      </c>
      <c r="N962" t="str">
        <f>VLOOKUP(A962,A961:H1961,8)</f>
        <v>Home &amp; Garden</v>
      </c>
    </row>
    <row r="963" spans="1:14" x14ac:dyDescent="0.35">
      <c r="A963">
        <v>962</v>
      </c>
      <c r="B963">
        <v>60</v>
      </c>
      <c r="C963" t="s">
        <v>16</v>
      </c>
      <c r="D963">
        <v>98537</v>
      </c>
      <c r="E963">
        <v>71</v>
      </c>
      <c r="F963">
        <v>9</v>
      </c>
      <c r="G963">
        <v>45</v>
      </c>
      <c r="H963" t="s">
        <v>10</v>
      </c>
      <c r="I963">
        <v>725.67</v>
      </c>
      <c r="J963" s="1" t="str">
        <f t="shared" ref="J963:J1001" si="45">IF(AND(B963&gt;=18, B963&lt;=100), "valid", "invalid")</f>
        <v>valid</v>
      </c>
      <c r="K963" t="e">
        <f t="shared" ref="K963:K1001" ca="1" si="46">IFS(OR(C963= "Female",C963="female",C963= "F"), "Female", OR(C963="Male", C963="male",C963= "M"), "Male", TRUE, "Other")</f>
        <v>#NAME?</v>
      </c>
      <c r="L963" t="str">
        <f>IF(E963&gt;=80,"High Value","Normal")</f>
        <v>Normal</v>
      </c>
      <c r="M963" s="2" t="str">
        <f t="shared" ref="M963:M1001" si="47">IF(AND(B963&gt;30,G963&gt;20), "YES")</f>
        <v>YES</v>
      </c>
      <c r="N963" t="str">
        <f>VLOOKUP(A963,A962:H1962,8)</f>
        <v>Groceries</v>
      </c>
    </row>
    <row r="964" spans="1:14" x14ac:dyDescent="0.35">
      <c r="A964">
        <v>963</v>
      </c>
      <c r="B964">
        <v>66</v>
      </c>
      <c r="C964" t="s">
        <v>9</v>
      </c>
      <c r="D964">
        <v>72885</v>
      </c>
      <c r="E964">
        <v>1</v>
      </c>
      <c r="F964">
        <v>9</v>
      </c>
      <c r="G964">
        <v>33</v>
      </c>
      <c r="H964" t="s">
        <v>10</v>
      </c>
      <c r="I964">
        <v>654.48</v>
      </c>
      <c r="J964" s="1" t="str">
        <f t="shared" si="45"/>
        <v>valid</v>
      </c>
      <c r="K964" t="e">
        <f t="shared" ca="1" si="46"/>
        <v>#NAME?</v>
      </c>
      <c r="L964" t="str">
        <f>IF(E964&gt;=80,"High Value","Normal")</f>
        <v>Normal</v>
      </c>
      <c r="M964" s="2" t="str">
        <f t="shared" si="47"/>
        <v>YES</v>
      </c>
      <c r="N964" t="str">
        <f>VLOOKUP(A964,A963:H1963,8)</f>
        <v>Groceries</v>
      </c>
    </row>
    <row r="965" spans="1:14" x14ac:dyDescent="0.35">
      <c r="A965">
        <v>964</v>
      </c>
      <c r="B965">
        <v>26</v>
      </c>
      <c r="C965" t="s">
        <v>13</v>
      </c>
      <c r="D965">
        <v>109221</v>
      </c>
      <c r="E965">
        <v>91</v>
      </c>
      <c r="F965">
        <v>2</v>
      </c>
      <c r="G965">
        <v>44</v>
      </c>
      <c r="H965" t="s">
        <v>11</v>
      </c>
      <c r="I965">
        <v>660.05</v>
      </c>
      <c r="J965" s="1" t="str">
        <f t="shared" si="45"/>
        <v>valid</v>
      </c>
      <c r="K965" t="e">
        <f t="shared" ca="1" si="46"/>
        <v>#NAME?</v>
      </c>
      <c r="L965" t="str">
        <f>IF(E965&gt;=80,"High Value","Normal")</f>
        <v>High Value</v>
      </c>
      <c r="M965" s="2" t="b">
        <f t="shared" si="47"/>
        <v>0</v>
      </c>
      <c r="N965" t="str">
        <f>VLOOKUP(A965,A964:H1964,8)</f>
        <v>Sports</v>
      </c>
    </row>
    <row r="966" spans="1:14" x14ac:dyDescent="0.35">
      <c r="A966">
        <v>965</v>
      </c>
      <c r="B966">
        <v>49</v>
      </c>
      <c r="C966" t="s">
        <v>13</v>
      </c>
      <c r="D966">
        <v>94218</v>
      </c>
      <c r="E966">
        <v>4</v>
      </c>
      <c r="F966">
        <v>10</v>
      </c>
      <c r="G966">
        <v>5</v>
      </c>
      <c r="H966" t="s">
        <v>15</v>
      </c>
      <c r="I966">
        <v>287.36</v>
      </c>
      <c r="J966" s="1" t="str">
        <f t="shared" si="45"/>
        <v>valid</v>
      </c>
      <c r="K966" t="e">
        <f t="shared" ca="1" si="46"/>
        <v>#NAME?</v>
      </c>
      <c r="L966" t="str">
        <f>IF(E966&gt;=80,"High Value","Normal")</f>
        <v>Normal</v>
      </c>
      <c r="M966" s="2" t="b">
        <f t="shared" si="47"/>
        <v>0</v>
      </c>
      <c r="N966" t="str">
        <f>VLOOKUP(A966,A965:H1965,8)</f>
        <v>Electronics</v>
      </c>
    </row>
    <row r="967" spans="1:14" x14ac:dyDescent="0.35">
      <c r="A967">
        <v>966</v>
      </c>
      <c r="B967">
        <v>58</v>
      </c>
      <c r="C967" t="s">
        <v>13</v>
      </c>
      <c r="D967">
        <v>133888</v>
      </c>
      <c r="E967">
        <v>92</v>
      </c>
      <c r="F967">
        <v>10</v>
      </c>
      <c r="G967">
        <v>14</v>
      </c>
      <c r="H967" t="s">
        <v>14</v>
      </c>
      <c r="I967">
        <v>628.29999999999995</v>
      </c>
      <c r="J967" s="1" t="str">
        <f t="shared" si="45"/>
        <v>valid</v>
      </c>
      <c r="K967" t="e">
        <f t="shared" ca="1" si="46"/>
        <v>#NAME?</v>
      </c>
      <c r="L967" t="str">
        <f>IF(E967&gt;=80,"High Value","Normal")</f>
        <v>High Value</v>
      </c>
      <c r="M967" s="2" t="b">
        <f t="shared" si="47"/>
        <v>0</v>
      </c>
      <c r="N967" t="str">
        <f>VLOOKUP(A967,A966:H1966,8)</f>
        <v>Home &amp; Garden</v>
      </c>
    </row>
    <row r="968" spans="1:14" x14ac:dyDescent="0.35">
      <c r="A968">
        <v>967</v>
      </c>
      <c r="B968">
        <v>46</v>
      </c>
      <c r="C968" t="s">
        <v>9</v>
      </c>
      <c r="D968">
        <v>67361</v>
      </c>
      <c r="E968">
        <v>80</v>
      </c>
      <c r="F968">
        <v>6</v>
      </c>
      <c r="G968">
        <v>25</v>
      </c>
      <c r="H968" t="s">
        <v>11</v>
      </c>
      <c r="I968">
        <v>350.08</v>
      </c>
      <c r="J968" s="1" t="str">
        <f t="shared" si="45"/>
        <v>valid</v>
      </c>
      <c r="K968" t="e">
        <f t="shared" ca="1" si="46"/>
        <v>#NAME?</v>
      </c>
      <c r="L968" t="str">
        <f>IF(E968&gt;=80,"High Value","Normal")</f>
        <v>High Value</v>
      </c>
      <c r="M968" s="2" t="str">
        <f t="shared" si="47"/>
        <v>YES</v>
      </c>
      <c r="N968" t="str">
        <f>VLOOKUP(A968,A967:H1967,8)</f>
        <v>Sports</v>
      </c>
    </row>
    <row r="969" spans="1:14" x14ac:dyDescent="0.35">
      <c r="A969">
        <v>968</v>
      </c>
      <c r="B969">
        <v>23</v>
      </c>
      <c r="C969" t="s">
        <v>9</v>
      </c>
      <c r="D969">
        <v>74773</v>
      </c>
      <c r="E969">
        <v>16</v>
      </c>
      <c r="F969">
        <v>2</v>
      </c>
      <c r="G969">
        <v>42</v>
      </c>
      <c r="H969" t="s">
        <v>10</v>
      </c>
      <c r="I969">
        <v>626.04999999999995</v>
      </c>
      <c r="J969" s="1" t="str">
        <f t="shared" si="45"/>
        <v>valid</v>
      </c>
      <c r="K969" t="e">
        <f t="shared" ca="1" si="46"/>
        <v>#NAME?</v>
      </c>
      <c r="L969" t="str">
        <f>IF(E969&gt;=80,"High Value","Normal")</f>
        <v>Normal</v>
      </c>
      <c r="M969" s="2" t="b">
        <f t="shared" si="47"/>
        <v>0</v>
      </c>
      <c r="N969" t="str">
        <f>VLOOKUP(A969,A968:H1968,8)</f>
        <v>Groceries</v>
      </c>
    </row>
    <row r="970" spans="1:14" x14ac:dyDescent="0.35">
      <c r="A970">
        <v>969</v>
      </c>
      <c r="B970">
        <v>61</v>
      </c>
      <c r="C970" t="s">
        <v>13</v>
      </c>
      <c r="D970">
        <v>38209</v>
      </c>
      <c r="E970">
        <v>79</v>
      </c>
      <c r="F970">
        <v>8</v>
      </c>
      <c r="G970">
        <v>40</v>
      </c>
      <c r="H970" t="s">
        <v>11</v>
      </c>
      <c r="I970">
        <v>724.23</v>
      </c>
      <c r="J970" s="1" t="str">
        <f t="shared" si="45"/>
        <v>valid</v>
      </c>
      <c r="K970" t="e">
        <f t="shared" ca="1" si="46"/>
        <v>#NAME?</v>
      </c>
      <c r="L970" t="str">
        <f>IF(E970&gt;=80,"High Value","Normal")</f>
        <v>Normal</v>
      </c>
      <c r="M970" s="2" t="str">
        <f t="shared" si="47"/>
        <v>YES</v>
      </c>
      <c r="N970" t="str">
        <f>VLOOKUP(A970,A969:H1969,8)</f>
        <v>Sports</v>
      </c>
    </row>
    <row r="971" spans="1:14" x14ac:dyDescent="0.35">
      <c r="A971">
        <v>970</v>
      </c>
      <c r="B971">
        <v>68</v>
      </c>
      <c r="C971" t="s">
        <v>9</v>
      </c>
      <c r="D971">
        <v>40471</v>
      </c>
      <c r="E971">
        <v>28</v>
      </c>
      <c r="F971">
        <v>3</v>
      </c>
      <c r="G971">
        <v>33</v>
      </c>
      <c r="H971" t="s">
        <v>10</v>
      </c>
      <c r="I971">
        <v>40.89</v>
      </c>
      <c r="J971" s="1" t="str">
        <f t="shared" si="45"/>
        <v>valid</v>
      </c>
      <c r="K971" t="e">
        <f t="shared" ca="1" si="46"/>
        <v>#NAME?</v>
      </c>
      <c r="L971" t="str">
        <f>IF(E971&gt;=80,"High Value","Normal")</f>
        <v>Normal</v>
      </c>
      <c r="M971" s="2" t="str">
        <f t="shared" si="47"/>
        <v>YES</v>
      </c>
      <c r="N971" t="str">
        <f>VLOOKUP(A971,A970:H1970,8)</f>
        <v>Groceries</v>
      </c>
    </row>
    <row r="972" spans="1:14" x14ac:dyDescent="0.35">
      <c r="A972">
        <v>971</v>
      </c>
      <c r="B972">
        <v>58</v>
      </c>
      <c r="C972" t="s">
        <v>9</v>
      </c>
      <c r="D972">
        <v>51913</v>
      </c>
      <c r="E972">
        <v>14</v>
      </c>
      <c r="F972">
        <v>4</v>
      </c>
      <c r="G972">
        <v>21</v>
      </c>
      <c r="H972" t="s">
        <v>14</v>
      </c>
      <c r="I972">
        <v>733.63</v>
      </c>
      <c r="J972" s="1" t="str">
        <f t="shared" si="45"/>
        <v>valid</v>
      </c>
      <c r="K972" t="e">
        <f t="shared" ca="1" si="46"/>
        <v>#NAME?</v>
      </c>
      <c r="L972" t="str">
        <f>IF(E972&gt;=80,"High Value","Normal")</f>
        <v>Normal</v>
      </c>
      <c r="M972" s="2" t="str">
        <f t="shared" si="47"/>
        <v>YES</v>
      </c>
      <c r="N972" t="str">
        <f>VLOOKUP(A972,A971:H1971,8)</f>
        <v>Home &amp; Garden</v>
      </c>
    </row>
    <row r="973" spans="1:14" x14ac:dyDescent="0.35">
      <c r="A973">
        <v>972</v>
      </c>
      <c r="B973">
        <v>41</v>
      </c>
      <c r="C973" t="s">
        <v>16</v>
      </c>
      <c r="D973">
        <v>120294</v>
      </c>
      <c r="E973">
        <v>79</v>
      </c>
      <c r="F973">
        <v>5</v>
      </c>
      <c r="G973">
        <v>44</v>
      </c>
      <c r="H973" t="s">
        <v>12</v>
      </c>
      <c r="I973">
        <v>942.03</v>
      </c>
      <c r="J973" s="1" t="str">
        <f t="shared" si="45"/>
        <v>valid</v>
      </c>
      <c r="K973" t="e">
        <f t="shared" ca="1" si="46"/>
        <v>#NAME?</v>
      </c>
      <c r="L973" t="str">
        <f>IF(E973&gt;=80,"High Value","Normal")</f>
        <v>Normal</v>
      </c>
      <c r="M973" s="2" t="str">
        <f t="shared" si="47"/>
        <v>YES</v>
      </c>
      <c r="N973" t="str">
        <f>VLOOKUP(A973,A972:H1972,8)</f>
        <v>Clothing</v>
      </c>
    </row>
    <row r="974" spans="1:14" x14ac:dyDescent="0.35">
      <c r="A974">
        <v>973</v>
      </c>
      <c r="B974">
        <v>43</v>
      </c>
      <c r="C974" t="s">
        <v>16</v>
      </c>
      <c r="D974">
        <v>130645</v>
      </c>
      <c r="E974">
        <v>34</v>
      </c>
      <c r="F974">
        <v>10</v>
      </c>
      <c r="G974">
        <v>5</v>
      </c>
      <c r="H974" t="s">
        <v>10</v>
      </c>
      <c r="I974">
        <v>833.69</v>
      </c>
      <c r="J974" s="1" t="str">
        <f t="shared" si="45"/>
        <v>valid</v>
      </c>
      <c r="K974" t="e">
        <f t="shared" ca="1" si="46"/>
        <v>#NAME?</v>
      </c>
      <c r="L974" t="str">
        <f>IF(E974&gt;=80,"High Value","Normal")</f>
        <v>Normal</v>
      </c>
      <c r="M974" s="2" t="b">
        <f t="shared" si="47"/>
        <v>0</v>
      </c>
      <c r="N974" t="str">
        <f>VLOOKUP(A974,A973:H1973,8)</f>
        <v>Groceries</v>
      </c>
    </row>
    <row r="975" spans="1:14" x14ac:dyDescent="0.35">
      <c r="A975">
        <v>974</v>
      </c>
      <c r="B975">
        <v>48</v>
      </c>
      <c r="C975" t="s">
        <v>13</v>
      </c>
      <c r="D975">
        <v>75118</v>
      </c>
      <c r="E975">
        <v>84</v>
      </c>
      <c r="F975">
        <v>6</v>
      </c>
      <c r="G975">
        <v>41</v>
      </c>
      <c r="H975" t="s">
        <v>15</v>
      </c>
      <c r="I975">
        <v>711.37</v>
      </c>
      <c r="J975" s="1" t="str">
        <f t="shared" si="45"/>
        <v>valid</v>
      </c>
      <c r="K975" t="e">
        <f t="shared" ca="1" si="46"/>
        <v>#NAME?</v>
      </c>
      <c r="L975" t="str">
        <f>IF(E975&gt;=80,"High Value","Normal")</f>
        <v>High Value</v>
      </c>
      <c r="M975" s="2" t="str">
        <f t="shared" si="47"/>
        <v>YES</v>
      </c>
      <c r="N975" t="str">
        <f>VLOOKUP(A975,A974:H1974,8)</f>
        <v>Electronics</v>
      </c>
    </row>
    <row r="976" spans="1:14" x14ac:dyDescent="0.35">
      <c r="A976">
        <v>975</v>
      </c>
      <c r="B976">
        <v>49</v>
      </c>
      <c r="C976" t="s">
        <v>9</v>
      </c>
      <c r="D976">
        <v>79546</v>
      </c>
      <c r="E976">
        <v>26</v>
      </c>
      <c r="F976">
        <v>5</v>
      </c>
      <c r="G976">
        <v>12</v>
      </c>
      <c r="H976" t="s">
        <v>14</v>
      </c>
      <c r="I976">
        <v>935.73</v>
      </c>
      <c r="J976" s="1" t="str">
        <f t="shared" si="45"/>
        <v>valid</v>
      </c>
      <c r="K976" t="e">
        <f t="shared" ca="1" si="46"/>
        <v>#NAME?</v>
      </c>
      <c r="L976" t="str">
        <f>IF(E976&gt;=80,"High Value","Normal")</f>
        <v>Normal</v>
      </c>
      <c r="M976" s="2" t="b">
        <f t="shared" si="47"/>
        <v>0</v>
      </c>
      <c r="N976" t="str">
        <f>VLOOKUP(A976,A975:H1975,8)</f>
        <v>Home &amp; Garden</v>
      </c>
    </row>
    <row r="977" spans="1:14" x14ac:dyDescent="0.35">
      <c r="A977">
        <v>976</v>
      </c>
      <c r="B977">
        <v>30</v>
      </c>
      <c r="C977" t="s">
        <v>16</v>
      </c>
      <c r="D977">
        <v>54930</v>
      </c>
      <c r="E977">
        <v>12</v>
      </c>
      <c r="F977">
        <v>9</v>
      </c>
      <c r="G977">
        <v>13</v>
      </c>
      <c r="H977" t="s">
        <v>15</v>
      </c>
      <c r="I977">
        <v>724.88</v>
      </c>
      <c r="J977" s="1" t="str">
        <f t="shared" si="45"/>
        <v>valid</v>
      </c>
      <c r="K977" t="e">
        <f t="shared" ca="1" si="46"/>
        <v>#NAME?</v>
      </c>
      <c r="L977" t="str">
        <f>IF(E977&gt;=80,"High Value","Normal")</f>
        <v>Normal</v>
      </c>
      <c r="M977" s="2" t="b">
        <f t="shared" si="47"/>
        <v>0</v>
      </c>
      <c r="N977" t="str">
        <f>VLOOKUP(A977,A976:H1976,8)</f>
        <v>Electronics</v>
      </c>
    </row>
    <row r="978" spans="1:14" x14ac:dyDescent="0.35">
      <c r="A978">
        <v>977</v>
      </c>
      <c r="B978">
        <v>37</v>
      </c>
      <c r="C978" t="s">
        <v>16</v>
      </c>
      <c r="D978">
        <v>100314</v>
      </c>
      <c r="E978">
        <v>71</v>
      </c>
      <c r="F978">
        <v>5</v>
      </c>
      <c r="G978">
        <v>19</v>
      </c>
      <c r="H978" t="s">
        <v>10</v>
      </c>
      <c r="I978">
        <v>692.74</v>
      </c>
      <c r="J978" s="1" t="str">
        <f t="shared" si="45"/>
        <v>valid</v>
      </c>
      <c r="K978" t="e">
        <f t="shared" ca="1" si="46"/>
        <v>#NAME?</v>
      </c>
      <c r="L978" t="str">
        <f>IF(E978&gt;=80,"High Value","Normal")</f>
        <v>Normal</v>
      </c>
      <c r="M978" s="2" t="b">
        <f t="shared" si="47"/>
        <v>0</v>
      </c>
      <c r="N978" t="str">
        <f>VLOOKUP(A978,A977:H1977,8)</f>
        <v>Groceries</v>
      </c>
    </row>
    <row r="979" spans="1:14" x14ac:dyDescent="0.35">
      <c r="A979">
        <v>978</v>
      </c>
      <c r="B979">
        <v>45</v>
      </c>
      <c r="C979" t="s">
        <v>9</v>
      </c>
      <c r="D979">
        <v>91381</v>
      </c>
      <c r="E979">
        <v>48</v>
      </c>
      <c r="F979">
        <v>8</v>
      </c>
      <c r="G979">
        <v>16</v>
      </c>
      <c r="H979" t="s">
        <v>11</v>
      </c>
      <c r="I979">
        <v>253.13</v>
      </c>
      <c r="J979" s="1" t="str">
        <f t="shared" si="45"/>
        <v>valid</v>
      </c>
      <c r="K979" t="e">
        <f t="shared" ca="1" si="46"/>
        <v>#NAME?</v>
      </c>
      <c r="L979" t="str">
        <f>IF(E979&gt;=80,"High Value","Normal")</f>
        <v>Normal</v>
      </c>
      <c r="M979" s="2" t="b">
        <f t="shared" si="47"/>
        <v>0</v>
      </c>
      <c r="N979" t="str">
        <f>VLOOKUP(A979,A978:H1978,8)</f>
        <v>Sports</v>
      </c>
    </row>
    <row r="980" spans="1:14" x14ac:dyDescent="0.35">
      <c r="A980">
        <v>979</v>
      </c>
      <c r="B980">
        <v>66</v>
      </c>
      <c r="C980" t="s">
        <v>9</v>
      </c>
      <c r="D980">
        <v>74055</v>
      </c>
      <c r="E980">
        <v>100</v>
      </c>
      <c r="F980">
        <v>6</v>
      </c>
      <c r="G980">
        <v>17</v>
      </c>
      <c r="H980" t="s">
        <v>11</v>
      </c>
      <c r="I980">
        <v>318.7</v>
      </c>
      <c r="J980" s="1" t="str">
        <f t="shared" si="45"/>
        <v>valid</v>
      </c>
      <c r="K980" t="e">
        <f t="shared" ca="1" si="46"/>
        <v>#NAME?</v>
      </c>
      <c r="L980" t="str">
        <f>IF(E980&gt;=80,"High Value","Normal")</f>
        <v>High Value</v>
      </c>
      <c r="M980" s="2" t="b">
        <f t="shared" si="47"/>
        <v>0</v>
      </c>
      <c r="N980" t="str">
        <f>VLOOKUP(A980,A979:H1979,8)</f>
        <v>Sports</v>
      </c>
    </row>
    <row r="981" spans="1:14" x14ac:dyDescent="0.35">
      <c r="A981">
        <v>980</v>
      </c>
      <c r="B981">
        <v>45</v>
      </c>
      <c r="C981" t="s">
        <v>9</v>
      </c>
      <c r="D981">
        <v>135047</v>
      </c>
      <c r="E981">
        <v>11</v>
      </c>
      <c r="F981">
        <v>9</v>
      </c>
      <c r="G981">
        <v>42</v>
      </c>
      <c r="H981" t="s">
        <v>12</v>
      </c>
      <c r="I981">
        <v>422.93</v>
      </c>
      <c r="J981" s="1" t="str">
        <f t="shared" si="45"/>
        <v>valid</v>
      </c>
      <c r="K981" t="e">
        <f t="shared" ca="1" si="46"/>
        <v>#NAME?</v>
      </c>
      <c r="L981" t="str">
        <f>IF(E981&gt;=80,"High Value","Normal")</f>
        <v>Normal</v>
      </c>
      <c r="M981" s="2" t="str">
        <f t="shared" si="47"/>
        <v>YES</v>
      </c>
      <c r="N981" t="str">
        <f>VLOOKUP(A981,A980:H1980,8)</f>
        <v>Clothing</v>
      </c>
    </row>
    <row r="982" spans="1:14" x14ac:dyDescent="0.35">
      <c r="A982">
        <v>981</v>
      </c>
      <c r="B982">
        <v>30</v>
      </c>
      <c r="C982" t="s">
        <v>16</v>
      </c>
      <c r="D982">
        <v>117373</v>
      </c>
      <c r="E982">
        <v>32</v>
      </c>
      <c r="F982">
        <v>1</v>
      </c>
      <c r="G982">
        <v>49</v>
      </c>
      <c r="H982" t="s">
        <v>14</v>
      </c>
      <c r="I982">
        <v>129.35</v>
      </c>
      <c r="J982" s="1" t="str">
        <f t="shared" si="45"/>
        <v>valid</v>
      </c>
      <c r="K982" t="e">
        <f t="shared" ca="1" si="46"/>
        <v>#NAME?</v>
      </c>
      <c r="L982" t="str">
        <f>IF(E982&gt;=80,"High Value","Normal")</f>
        <v>Normal</v>
      </c>
      <c r="M982" s="2" t="b">
        <f t="shared" si="47"/>
        <v>0</v>
      </c>
      <c r="N982" t="str">
        <f>VLOOKUP(A982,A981:H1981,8)</f>
        <v>Home &amp; Garden</v>
      </c>
    </row>
    <row r="983" spans="1:14" x14ac:dyDescent="0.35">
      <c r="A983">
        <v>982</v>
      </c>
      <c r="B983">
        <v>59</v>
      </c>
      <c r="C983" t="s">
        <v>13</v>
      </c>
      <c r="D983">
        <v>87884</v>
      </c>
      <c r="E983">
        <v>79</v>
      </c>
      <c r="F983">
        <v>9</v>
      </c>
      <c r="G983">
        <v>28</v>
      </c>
      <c r="H983" t="s">
        <v>10</v>
      </c>
      <c r="I983">
        <v>491.55</v>
      </c>
      <c r="J983" s="1" t="str">
        <f t="shared" si="45"/>
        <v>valid</v>
      </c>
      <c r="K983" t="e">
        <f t="shared" ca="1" si="46"/>
        <v>#NAME?</v>
      </c>
      <c r="L983" t="str">
        <f>IF(E983&gt;=80,"High Value","Normal")</f>
        <v>Normal</v>
      </c>
      <c r="M983" s="2" t="str">
        <f t="shared" si="47"/>
        <v>YES</v>
      </c>
      <c r="N983" t="str">
        <f>VLOOKUP(A983,A982:H1982,8)</f>
        <v>Groceries</v>
      </c>
    </row>
    <row r="984" spans="1:14" x14ac:dyDescent="0.35">
      <c r="A984">
        <v>983</v>
      </c>
      <c r="B984">
        <v>68</v>
      </c>
      <c r="C984" t="s">
        <v>9</v>
      </c>
      <c r="D984">
        <v>117203</v>
      </c>
      <c r="E984">
        <v>76</v>
      </c>
      <c r="F984">
        <v>7</v>
      </c>
      <c r="G984">
        <v>38</v>
      </c>
      <c r="H984" t="s">
        <v>15</v>
      </c>
      <c r="I984">
        <v>363.94</v>
      </c>
      <c r="J984" s="1" t="str">
        <f t="shared" si="45"/>
        <v>valid</v>
      </c>
      <c r="K984" t="e">
        <f t="shared" ca="1" si="46"/>
        <v>#NAME?</v>
      </c>
      <c r="L984" t="str">
        <f>IF(E984&gt;=80,"High Value","Normal")</f>
        <v>Normal</v>
      </c>
      <c r="M984" s="2" t="str">
        <f t="shared" si="47"/>
        <v>YES</v>
      </c>
      <c r="N984" t="str">
        <f>VLOOKUP(A984,A983:H1983,8)</f>
        <v>Electronics</v>
      </c>
    </row>
    <row r="985" spans="1:14" x14ac:dyDescent="0.35">
      <c r="A985">
        <v>984</v>
      </c>
      <c r="B985">
        <v>51</v>
      </c>
      <c r="C985" t="s">
        <v>13</v>
      </c>
      <c r="D985">
        <v>91682</v>
      </c>
      <c r="E985">
        <v>27</v>
      </c>
      <c r="F985">
        <v>9</v>
      </c>
      <c r="G985">
        <v>49</v>
      </c>
      <c r="H985" t="s">
        <v>15</v>
      </c>
      <c r="I985">
        <v>990.87</v>
      </c>
      <c r="J985" s="1" t="str">
        <f t="shared" si="45"/>
        <v>valid</v>
      </c>
      <c r="K985" t="e">
        <f t="shared" ca="1" si="46"/>
        <v>#NAME?</v>
      </c>
      <c r="L985" t="str">
        <f>IF(E985&gt;=80,"High Value","Normal")</f>
        <v>Normal</v>
      </c>
      <c r="M985" s="2" t="str">
        <f t="shared" si="47"/>
        <v>YES</v>
      </c>
      <c r="N985" t="str">
        <f>VLOOKUP(A985,A984:H1984,8)</f>
        <v>Electronics</v>
      </c>
    </row>
    <row r="986" spans="1:14" x14ac:dyDescent="0.35">
      <c r="A986">
        <v>985</v>
      </c>
      <c r="B986">
        <v>35</v>
      </c>
      <c r="C986" t="s">
        <v>13</v>
      </c>
      <c r="D986">
        <v>82057</v>
      </c>
      <c r="E986">
        <v>66</v>
      </c>
      <c r="F986">
        <v>4</v>
      </c>
      <c r="G986">
        <v>9</v>
      </c>
      <c r="H986" t="s">
        <v>11</v>
      </c>
      <c r="I986">
        <v>683.93</v>
      </c>
      <c r="J986" s="1" t="str">
        <f t="shared" si="45"/>
        <v>valid</v>
      </c>
      <c r="K986" t="e">
        <f t="shared" ca="1" si="46"/>
        <v>#NAME?</v>
      </c>
      <c r="L986" t="str">
        <f>IF(E986&gt;=80,"High Value","Normal")</f>
        <v>Normal</v>
      </c>
      <c r="M986" s="2" t="b">
        <f t="shared" si="47"/>
        <v>0</v>
      </c>
      <c r="N986" t="str">
        <f>VLOOKUP(A986,A985:H1985,8)</f>
        <v>Sports</v>
      </c>
    </row>
    <row r="987" spans="1:14" x14ac:dyDescent="0.35">
      <c r="A987">
        <v>986</v>
      </c>
      <c r="B987">
        <v>66</v>
      </c>
      <c r="C987" t="s">
        <v>13</v>
      </c>
      <c r="D987">
        <v>78149</v>
      </c>
      <c r="E987">
        <v>2</v>
      </c>
      <c r="F987">
        <v>10</v>
      </c>
      <c r="G987">
        <v>9</v>
      </c>
      <c r="H987" t="s">
        <v>14</v>
      </c>
      <c r="I987">
        <v>579.27</v>
      </c>
      <c r="J987" s="1" t="str">
        <f t="shared" si="45"/>
        <v>valid</v>
      </c>
      <c r="K987" t="e">
        <f t="shared" ca="1" si="46"/>
        <v>#NAME?</v>
      </c>
      <c r="L987" t="str">
        <f>IF(E987&gt;=80,"High Value","Normal")</f>
        <v>Normal</v>
      </c>
      <c r="M987" s="2" t="b">
        <f t="shared" si="47"/>
        <v>0</v>
      </c>
      <c r="N987" t="str">
        <f>VLOOKUP(A987,A986:H1986,8)</f>
        <v>Home &amp; Garden</v>
      </c>
    </row>
    <row r="988" spans="1:14" x14ac:dyDescent="0.35">
      <c r="A988">
        <v>987</v>
      </c>
      <c r="B988">
        <v>22</v>
      </c>
      <c r="C988" t="s">
        <v>16</v>
      </c>
      <c r="D988">
        <v>80049</v>
      </c>
      <c r="E988">
        <v>1</v>
      </c>
      <c r="F988">
        <v>10</v>
      </c>
      <c r="G988">
        <v>47</v>
      </c>
      <c r="H988" t="s">
        <v>11</v>
      </c>
      <c r="I988">
        <v>16.97</v>
      </c>
      <c r="J988" s="1" t="str">
        <f t="shared" si="45"/>
        <v>valid</v>
      </c>
      <c r="K988" t="e">
        <f t="shared" ca="1" si="46"/>
        <v>#NAME?</v>
      </c>
      <c r="L988" t="str">
        <f>IF(E988&gt;=80,"High Value","Normal")</f>
        <v>Normal</v>
      </c>
      <c r="M988" s="2" t="b">
        <f t="shared" si="47"/>
        <v>0</v>
      </c>
      <c r="N988" t="str">
        <f>VLOOKUP(A988,A987:H1987,8)</f>
        <v>Sports</v>
      </c>
    </row>
    <row r="989" spans="1:14" x14ac:dyDescent="0.35">
      <c r="A989">
        <v>988</v>
      </c>
      <c r="B989">
        <v>26</v>
      </c>
      <c r="C989" t="s">
        <v>16</v>
      </c>
      <c r="D989">
        <v>148451</v>
      </c>
      <c r="E989">
        <v>78</v>
      </c>
      <c r="F989">
        <v>5</v>
      </c>
      <c r="G989">
        <v>14</v>
      </c>
      <c r="H989" t="s">
        <v>10</v>
      </c>
      <c r="I989">
        <v>99.19</v>
      </c>
      <c r="J989" s="1" t="str">
        <f t="shared" si="45"/>
        <v>valid</v>
      </c>
      <c r="K989" t="e">
        <f t="shared" ca="1" si="46"/>
        <v>#NAME?</v>
      </c>
      <c r="L989" t="str">
        <f>IF(E989&gt;=80,"High Value","Normal")</f>
        <v>Normal</v>
      </c>
      <c r="M989" s="2" t="b">
        <f t="shared" si="47"/>
        <v>0</v>
      </c>
      <c r="N989" t="str">
        <f>VLOOKUP(A989,A988:H1988,8)</f>
        <v>Groceries</v>
      </c>
    </row>
    <row r="990" spans="1:14" x14ac:dyDescent="0.35">
      <c r="A990">
        <v>989</v>
      </c>
      <c r="B990">
        <v>26</v>
      </c>
      <c r="C990" t="s">
        <v>16</v>
      </c>
      <c r="D990">
        <v>45147</v>
      </c>
      <c r="E990">
        <v>93</v>
      </c>
      <c r="F990">
        <v>1</v>
      </c>
      <c r="G990">
        <v>32</v>
      </c>
      <c r="H990" t="s">
        <v>14</v>
      </c>
      <c r="I990">
        <v>750.58</v>
      </c>
      <c r="J990" s="1" t="str">
        <f t="shared" si="45"/>
        <v>valid</v>
      </c>
      <c r="K990" t="e">
        <f t="shared" ca="1" si="46"/>
        <v>#NAME?</v>
      </c>
      <c r="L990" t="str">
        <f>IF(E990&gt;=80,"High Value","Normal")</f>
        <v>High Value</v>
      </c>
      <c r="M990" s="2" t="b">
        <f t="shared" si="47"/>
        <v>0</v>
      </c>
      <c r="N990" t="str">
        <f>VLOOKUP(A990,A989:H1989,8)</f>
        <v>Home &amp; Garden</v>
      </c>
    </row>
    <row r="991" spans="1:14" x14ac:dyDescent="0.35">
      <c r="A991">
        <v>990</v>
      </c>
      <c r="B991">
        <v>31</v>
      </c>
      <c r="C991" t="s">
        <v>13</v>
      </c>
      <c r="D991">
        <v>45695</v>
      </c>
      <c r="E991">
        <v>36</v>
      </c>
      <c r="F991">
        <v>2</v>
      </c>
      <c r="G991">
        <v>31</v>
      </c>
      <c r="H991" t="s">
        <v>15</v>
      </c>
      <c r="I991">
        <v>864.67</v>
      </c>
      <c r="J991" s="1" t="str">
        <f t="shared" si="45"/>
        <v>valid</v>
      </c>
      <c r="K991" t="e">
        <f t="shared" ca="1" si="46"/>
        <v>#NAME?</v>
      </c>
      <c r="L991" t="str">
        <f>IF(E991&gt;=80,"High Value","Normal")</f>
        <v>Normal</v>
      </c>
      <c r="M991" s="2" t="str">
        <f t="shared" si="47"/>
        <v>YES</v>
      </c>
      <c r="N991" t="str">
        <f>VLOOKUP(A991,A990:H1990,8)</f>
        <v>Electronics</v>
      </c>
    </row>
    <row r="992" spans="1:14" x14ac:dyDescent="0.35">
      <c r="A992">
        <v>991</v>
      </c>
      <c r="B992">
        <v>21</v>
      </c>
      <c r="C992" t="s">
        <v>13</v>
      </c>
      <c r="D992">
        <v>80264</v>
      </c>
      <c r="E992">
        <v>41</v>
      </c>
      <c r="F992">
        <v>4</v>
      </c>
      <c r="G992">
        <v>26</v>
      </c>
      <c r="H992" t="s">
        <v>11</v>
      </c>
      <c r="I992">
        <v>458.93</v>
      </c>
      <c r="J992" s="1" t="str">
        <f t="shared" si="45"/>
        <v>valid</v>
      </c>
      <c r="K992" t="e">
        <f t="shared" ca="1" si="46"/>
        <v>#NAME?</v>
      </c>
      <c r="L992" t="str">
        <f>IF(E992&gt;=80,"High Value","Normal")</f>
        <v>Normal</v>
      </c>
      <c r="M992" s="2" t="b">
        <f t="shared" si="47"/>
        <v>0</v>
      </c>
      <c r="N992" t="str">
        <f>VLOOKUP(A992,A991:H1991,8)</f>
        <v>Sports</v>
      </c>
    </row>
    <row r="993" spans="1:14" x14ac:dyDescent="0.35">
      <c r="A993">
        <v>992</v>
      </c>
      <c r="B993">
        <v>53</v>
      </c>
      <c r="C993" t="s">
        <v>13</v>
      </c>
      <c r="D993">
        <v>83578</v>
      </c>
      <c r="E993">
        <v>97</v>
      </c>
      <c r="F993">
        <v>5</v>
      </c>
      <c r="G993">
        <v>50</v>
      </c>
      <c r="H993" t="s">
        <v>11</v>
      </c>
      <c r="I993">
        <v>917.08</v>
      </c>
      <c r="J993" s="1" t="str">
        <f t="shared" si="45"/>
        <v>valid</v>
      </c>
      <c r="K993" t="e">
        <f t="shared" ca="1" si="46"/>
        <v>#NAME?</v>
      </c>
      <c r="L993" t="str">
        <f>IF(E993&gt;=80,"High Value","Normal")</f>
        <v>High Value</v>
      </c>
      <c r="M993" s="2" t="str">
        <f t="shared" si="47"/>
        <v>YES</v>
      </c>
      <c r="N993" t="str">
        <f>VLOOKUP(A993,A992:H1992,8)</f>
        <v>Sports</v>
      </c>
    </row>
    <row r="994" spans="1:14" x14ac:dyDescent="0.35">
      <c r="A994">
        <v>993</v>
      </c>
      <c r="B994">
        <v>22</v>
      </c>
      <c r="C994" t="s">
        <v>9</v>
      </c>
      <c r="D994">
        <v>125479</v>
      </c>
      <c r="E994">
        <v>57</v>
      </c>
      <c r="F994">
        <v>8</v>
      </c>
      <c r="G994">
        <v>27</v>
      </c>
      <c r="H994" t="s">
        <v>14</v>
      </c>
      <c r="I994">
        <v>139.75</v>
      </c>
      <c r="J994" s="1" t="str">
        <f t="shared" si="45"/>
        <v>valid</v>
      </c>
      <c r="K994" t="e">
        <f t="shared" ca="1" si="46"/>
        <v>#NAME?</v>
      </c>
      <c r="L994" t="str">
        <f>IF(E994&gt;=80,"High Value","Normal")</f>
        <v>Normal</v>
      </c>
      <c r="M994" s="2" t="b">
        <f t="shared" si="47"/>
        <v>0</v>
      </c>
      <c r="N994" t="str">
        <f>VLOOKUP(A994,A993:H1993,8)</f>
        <v>Home &amp; Garden</v>
      </c>
    </row>
    <row r="995" spans="1:14" x14ac:dyDescent="0.35">
      <c r="A995">
        <v>994</v>
      </c>
      <c r="B995">
        <v>29</v>
      </c>
      <c r="C995" t="s">
        <v>9</v>
      </c>
      <c r="D995">
        <v>64799</v>
      </c>
      <c r="E995">
        <v>42</v>
      </c>
      <c r="F995">
        <v>5</v>
      </c>
      <c r="G995">
        <v>19</v>
      </c>
      <c r="H995" t="s">
        <v>15</v>
      </c>
      <c r="I995">
        <v>967.26</v>
      </c>
      <c r="J995" s="1" t="str">
        <f t="shared" si="45"/>
        <v>valid</v>
      </c>
      <c r="K995" t="e">
        <f t="shared" ca="1" si="46"/>
        <v>#NAME?</v>
      </c>
      <c r="L995" t="str">
        <f>IF(E995&gt;=80,"High Value","Normal")</f>
        <v>Normal</v>
      </c>
      <c r="M995" s="2" t="b">
        <f t="shared" si="47"/>
        <v>0</v>
      </c>
      <c r="N995" t="str">
        <f>VLOOKUP(A995,A994:H1994,8)</f>
        <v>Electronics</v>
      </c>
    </row>
    <row r="996" spans="1:14" x14ac:dyDescent="0.35">
      <c r="A996">
        <v>995</v>
      </c>
      <c r="B996">
        <v>60</v>
      </c>
      <c r="C996" t="s">
        <v>16</v>
      </c>
      <c r="D996">
        <v>71923</v>
      </c>
      <c r="E996">
        <v>25</v>
      </c>
      <c r="F996">
        <v>2</v>
      </c>
      <c r="G996">
        <v>40</v>
      </c>
      <c r="H996" t="s">
        <v>12</v>
      </c>
      <c r="I996">
        <v>986.97</v>
      </c>
      <c r="J996" s="1" t="str">
        <f t="shared" si="45"/>
        <v>valid</v>
      </c>
      <c r="K996" t="e">
        <f t="shared" ca="1" si="46"/>
        <v>#NAME?</v>
      </c>
      <c r="L996" t="str">
        <f>IF(E996&gt;=80,"High Value","Normal")</f>
        <v>Normal</v>
      </c>
      <c r="M996" s="2" t="str">
        <f t="shared" si="47"/>
        <v>YES</v>
      </c>
      <c r="N996" t="str">
        <f>VLOOKUP(A996,A995:H1995,8)</f>
        <v>Clothing</v>
      </c>
    </row>
    <row r="997" spans="1:14" x14ac:dyDescent="0.35">
      <c r="A997">
        <v>996</v>
      </c>
      <c r="B997">
        <v>57</v>
      </c>
      <c r="C997" t="s">
        <v>16</v>
      </c>
      <c r="D997">
        <v>112170</v>
      </c>
      <c r="E997">
        <v>57</v>
      </c>
      <c r="F997">
        <v>6</v>
      </c>
      <c r="G997">
        <v>1</v>
      </c>
      <c r="H997" t="s">
        <v>12</v>
      </c>
      <c r="I997">
        <v>313.64</v>
      </c>
      <c r="J997" s="1" t="str">
        <f t="shared" si="45"/>
        <v>valid</v>
      </c>
      <c r="K997" t="e">
        <f t="shared" ca="1" si="46"/>
        <v>#NAME?</v>
      </c>
      <c r="L997" t="str">
        <f>IF(E997&gt;=80,"High Value","Normal")</f>
        <v>Normal</v>
      </c>
      <c r="M997" s="2" t="b">
        <f t="shared" si="47"/>
        <v>0</v>
      </c>
      <c r="N997" t="str">
        <f>VLOOKUP(A997,A996:H1996,8)</f>
        <v>Clothing</v>
      </c>
    </row>
    <row r="998" spans="1:14" x14ac:dyDescent="0.35">
      <c r="A998">
        <v>997</v>
      </c>
      <c r="B998">
        <v>23</v>
      </c>
      <c r="C998" t="s">
        <v>13</v>
      </c>
      <c r="D998">
        <v>65337</v>
      </c>
      <c r="E998">
        <v>76</v>
      </c>
      <c r="F998">
        <v>10</v>
      </c>
      <c r="G998">
        <v>23</v>
      </c>
      <c r="H998" t="s">
        <v>10</v>
      </c>
      <c r="I998">
        <v>632.83000000000004</v>
      </c>
      <c r="J998" s="1" t="str">
        <f t="shared" si="45"/>
        <v>valid</v>
      </c>
      <c r="K998" t="e">
        <f t="shared" ca="1" si="46"/>
        <v>#NAME?</v>
      </c>
      <c r="L998" t="str">
        <f>IF(E998&gt;=80,"High Value","Normal")</f>
        <v>Normal</v>
      </c>
      <c r="M998" s="2" t="b">
        <f t="shared" si="47"/>
        <v>0</v>
      </c>
      <c r="N998" t="str">
        <f>VLOOKUP(A998,A997:H1997,8)</f>
        <v>Groceries</v>
      </c>
    </row>
    <row r="999" spans="1:14" x14ac:dyDescent="0.35">
      <c r="A999">
        <v>998</v>
      </c>
      <c r="B999">
        <v>23</v>
      </c>
      <c r="C999" t="s">
        <v>16</v>
      </c>
      <c r="D999">
        <v>113097</v>
      </c>
      <c r="E999">
        <v>40</v>
      </c>
      <c r="F999">
        <v>5</v>
      </c>
      <c r="G999">
        <v>42</v>
      </c>
      <c r="H999" t="s">
        <v>11</v>
      </c>
      <c r="I999">
        <v>75.09</v>
      </c>
      <c r="J999" s="1" t="str">
        <f t="shared" si="45"/>
        <v>valid</v>
      </c>
      <c r="K999" t="e">
        <f t="shared" ca="1" si="46"/>
        <v>#NAME?</v>
      </c>
      <c r="L999" t="str">
        <f>IF(E999&gt;=80,"High Value","Normal")</f>
        <v>Normal</v>
      </c>
      <c r="M999" s="2" t="b">
        <f t="shared" si="47"/>
        <v>0</v>
      </c>
      <c r="N999" t="str">
        <f>VLOOKUP(A999,A998:H1998,8)</f>
        <v>Sports</v>
      </c>
    </row>
    <row r="1000" spans="1:14" x14ac:dyDescent="0.35">
      <c r="A1000">
        <v>999</v>
      </c>
      <c r="B1000">
        <v>22</v>
      </c>
      <c r="C1000" t="s">
        <v>9</v>
      </c>
      <c r="D1000">
        <v>113695</v>
      </c>
      <c r="E1000">
        <v>63</v>
      </c>
      <c r="F1000">
        <v>7</v>
      </c>
      <c r="G1000">
        <v>44</v>
      </c>
      <c r="H1000" t="s">
        <v>15</v>
      </c>
      <c r="I1000">
        <v>505.16</v>
      </c>
      <c r="J1000" s="1" t="str">
        <f t="shared" si="45"/>
        <v>valid</v>
      </c>
      <c r="K1000" t="e">
        <f t="shared" ca="1" si="46"/>
        <v>#NAME?</v>
      </c>
      <c r="L1000" t="str">
        <f>IF(E1000&gt;=80,"High Value","Normal")</f>
        <v>Normal</v>
      </c>
      <c r="M1000" s="2" t="b">
        <f t="shared" si="47"/>
        <v>0</v>
      </c>
      <c r="N1000" t="str">
        <f>VLOOKUP(A1000,A999:H1999,8)</f>
        <v>Electronics</v>
      </c>
    </row>
    <row r="1001" spans="1:14" x14ac:dyDescent="0.35">
      <c r="A1001">
        <v>1000</v>
      </c>
      <c r="B1001">
        <v>36</v>
      </c>
      <c r="C1001" t="s">
        <v>9</v>
      </c>
      <c r="D1001">
        <v>90420</v>
      </c>
      <c r="E1001">
        <v>7</v>
      </c>
      <c r="F1001">
        <v>2</v>
      </c>
      <c r="G1001">
        <v>31</v>
      </c>
      <c r="H1001" t="s">
        <v>10</v>
      </c>
      <c r="I1001">
        <v>669.26</v>
      </c>
      <c r="J1001" s="1" t="str">
        <f t="shared" si="45"/>
        <v>valid</v>
      </c>
      <c r="K1001" t="e">
        <f t="shared" ca="1" si="46"/>
        <v>#NAME?</v>
      </c>
      <c r="L1001" t="str">
        <f>IF(E1001&gt;=80,"High Value","Normal")</f>
        <v>Normal</v>
      </c>
      <c r="M1001" s="2" t="str">
        <f t="shared" si="47"/>
        <v>YES</v>
      </c>
      <c r="N1001" t="str">
        <f>VLOOKUP(A1001,A1000:H2000,8)</f>
        <v>Groceries</v>
      </c>
    </row>
  </sheetData>
  <conditionalFormatting sqref="I1:I1048576">
    <cfRule type="cellIs" dxfId="0" priority="1" operator="greaterThan">
      <formula>500</formula>
    </cfRule>
    <cfRule type="colorScale" priority="2">
      <colorScale>
        <cfvo type="num" val="499"/>
        <cfvo type="num" val="500"/>
        <color rgb="FFFFFF00"/>
        <color rgb="FF00B050"/>
      </colorScale>
    </cfRule>
    <cfRule type="colorScale" priority="3">
      <colorScale>
        <cfvo type="num" val="500"/>
        <cfvo type="num" val="501"/>
        <color rgb="FF00B050"/>
        <color rgb="FF00B050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Customer_segmentation_data Grp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MARYANN</dc:creator>
  <cp:lastModifiedBy>maryann mugo</cp:lastModifiedBy>
  <dcterms:created xsi:type="dcterms:W3CDTF">2025-09-10T17:56:03Z</dcterms:created>
  <dcterms:modified xsi:type="dcterms:W3CDTF">2025-09-11T11:15:13Z</dcterms:modified>
</cp:coreProperties>
</file>