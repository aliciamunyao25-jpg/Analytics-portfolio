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EEFDBA-6731-49A4-A141-93E06AEE7900}" xr6:coauthVersionLast="47" xr6:coauthVersionMax="47" xr10:uidLastSave="{00000000-0000-0000-0000-000000000000}"/>
  <bookViews>
    <workbookView xWindow="-110" yWindow="-110" windowWidth="19420" windowHeight="10300" tabRatio="943" activeTab="5" xr2:uid="{7523FAB6-3066-4C2D-B7E3-530FCE608C57}"/>
  </bookViews>
  <sheets>
    <sheet name="week 3table" sheetId="1" r:id="rId1"/>
    <sheet name="average and sum purchase" sheetId="4" r:id="rId2"/>
    <sheet name="average purchase for gender" sheetId="5" r:id="rId3"/>
    <sheet name="distribution chart" sheetId="10" r:id="rId4"/>
    <sheet name="average purchase amount, time" sheetId="13" r:id="rId5"/>
    <sheet name="category sales chart" sheetId="11" r:id="rId6"/>
  </sheets>
  <definedNames>
    <definedName name="_xlnm._FilterDatabase" localSheetId="0" hidden="1">'week 3table'!$A$1:$AD$109</definedName>
    <definedName name="_xlcn.WorksheetConnection_Week3_class1.xlsxTable3" hidden="1">Practice3[]</definedName>
  </definedNames>
  <calcPr calcId="191029"/>
  <pivotCaches>
    <pivotCache cacheId="13" r:id="rId7"/>
    <pivotCache cacheId="14" r:id="rId8"/>
    <pivotCache cacheId="1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Week3_class (1)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 a="1"/>
  <c r="AH3" i="1" s="1"/>
  <c r="F91" i="1" a="1"/>
  <c r="F91" i="1" s="1"/>
  <c r="AF2" i="1" a="1"/>
  <c r="AF2" i="1" s="1"/>
  <c r="AF3" i="1" a="1"/>
  <c r="AF3" i="1"/>
  <c r="AF4" i="1" a="1"/>
  <c r="AF4" i="1" s="1"/>
  <c r="AF5" i="1" a="1"/>
  <c r="AF5" i="1"/>
  <c r="AF6" i="1" a="1"/>
  <c r="AF6" i="1" s="1"/>
  <c r="AF7" i="1" a="1"/>
  <c r="AF7" i="1" s="1"/>
  <c r="AF8" i="1" a="1"/>
  <c r="AF8" i="1" s="1"/>
  <c r="AF9" i="1" a="1"/>
  <c r="AF9" i="1"/>
  <c r="AF10" i="1" a="1"/>
  <c r="AF10" i="1" s="1"/>
  <c r="AF11" i="1" a="1"/>
  <c r="AF11" i="1" s="1"/>
  <c r="AF12" i="1" a="1"/>
  <c r="AF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/>
  <c r="AF18" i="1" a="1"/>
  <c r="AF18" i="1" s="1"/>
  <c r="AF19" i="1" a="1"/>
  <c r="AF19" i="1" s="1"/>
  <c r="AF20" i="1" a="1"/>
  <c r="AF20" i="1" s="1"/>
  <c r="AF21" i="1" a="1"/>
  <c r="AF21" i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/>
  <c r="AF34" i="1" a="1"/>
  <c r="AF34" i="1" s="1"/>
  <c r="AF35" i="1" a="1"/>
  <c r="AF35" i="1" s="1"/>
  <c r="AF36" i="1" a="1"/>
  <c r="AF36" i="1" s="1"/>
  <c r="AF37" i="1" a="1"/>
  <c r="AF37" i="1" s="1"/>
  <c r="AF38" i="1" a="1"/>
  <c r="AF38" i="1" s="1"/>
  <c r="AF39" i="1" a="1"/>
  <c r="AF39" i="1" s="1"/>
  <c r="AF40" i="1" a="1"/>
  <c r="AF40" i="1" s="1"/>
  <c r="AF41" i="1" a="1"/>
  <c r="AF41" i="1"/>
  <c r="AF42" i="1" a="1"/>
  <c r="AF42" i="1" s="1"/>
  <c r="AF43" i="1" a="1"/>
  <c r="AF43" i="1" s="1"/>
  <c r="AF44" i="1" a="1"/>
  <c r="AF44" i="1" s="1"/>
  <c r="AF45" i="1" a="1"/>
  <c r="AF45" i="1" s="1"/>
  <c r="AF46" i="1" a="1"/>
  <c r="AF46" i="1" s="1"/>
  <c r="AF47" i="1" a="1"/>
  <c r="AF47" i="1" s="1"/>
  <c r="AF48" i="1" a="1"/>
  <c r="AF48" i="1" s="1"/>
  <c r="AF49" i="1" a="1"/>
  <c r="AF49" i="1" s="1"/>
  <c r="AF50" i="1" a="1"/>
  <c r="AF50" i="1" s="1"/>
  <c r="AF51" i="1" a="1"/>
  <c r="AF51" i="1" s="1"/>
  <c r="AF52" i="1" a="1"/>
  <c r="AF52" i="1" s="1"/>
  <c r="AF53" i="1" a="1"/>
  <c r="AF53" i="1"/>
  <c r="AF54" i="1" a="1"/>
  <c r="AF54" i="1" s="1"/>
  <c r="AF55" i="1" a="1"/>
  <c r="AF55" i="1" s="1"/>
  <c r="AF56" i="1" a="1"/>
  <c r="AF56" i="1" s="1"/>
  <c r="AF57" i="1" a="1"/>
  <c r="AF57" i="1" s="1"/>
  <c r="AF58" i="1" a="1"/>
  <c r="AF58" i="1" s="1"/>
  <c r="AF59" i="1" a="1"/>
  <c r="AF59" i="1" s="1"/>
  <c r="AF60" i="1" a="1"/>
  <c r="AF60" i="1" s="1"/>
  <c r="AF61" i="1" a="1"/>
  <c r="AF61" i="1"/>
  <c r="AF62" i="1" a="1"/>
  <c r="AF62" i="1" s="1"/>
  <c r="AF63" i="1" a="1"/>
  <c r="AF63" i="1" s="1"/>
  <c r="AF64" i="1" a="1"/>
  <c r="AF64" i="1" s="1"/>
  <c r="AF65" i="1" a="1"/>
  <c r="AF65" i="1" s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/>
  <c r="AF94" i="1" a="1"/>
  <c r="AF94" i="1" s="1"/>
  <c r="AF95" i="1" a="1"/>
  <c r="AF95" i="1" s="1"/>
  <c r="AF96" i="1" a="1"/>
  <c r="AF96" i="1" s="1"/>
  <c r="AF97" i="1" a="1"/>
  <c r="AF97" i="1"/>
  <c r="AF98" i="1" a="1"/>
  <c r="AF98" i="1" s="1"/>
  <c r="AF99" i="1" a="1"/>
  <c r="AF99" i="1" s="1"/>
  <c r="AF100" i="1" a="1"/>
  <c r="AF100" i="1" s="1"/>
  <c r="AF101" i="1" a="1"/>
  <c r="AF101" i="1"/>
  <c r="AF102" i="1" a="1"/>
  <c r="AF102" i="1" s="1"/>
  <c r="AF103" i="1" a="1"/>
  <c r="AF103" i="1" s="1"/>
  <c r="AF104" i="1" a="1"/>
  <c r="AF104" i="1" s="1"/>
  <c r="AF105" i="1" a="1"/>
  <c r="AF105" i="1" s="1"/>
  <c r="AF106" i="1" a="1"/>
  <c r="AF106" i="1" s="1"/>
  <c r="AF107" i="1" a="1"/>
  <c r="AF107" i="1" s="1"/>
  <c r="AF108" i="1" a="1"/>
  <c r="AF108" i="1" s="1"/>
  <c r="AF109" i="1" a="1"/>
  <c r="AF109" i="1" s="1"/>
  <c r="M2" i="1"/>
  <c r="AI3" i="1" s="1" a="1"/>
  <c r="AI3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AE2" i="1" a="1"/>
  <c r="AE2" i="1" s="1"/>
  <c r="AE3" i="1" a="1"/>
  <c r="AE3" i="1" s="1"/>
  <c r="AE4" i="1" a="1"/>
  <c r="AE4" i="1" s="1"/>
  <c r="AE5" i="1" a="1"/>
  <c r="AE5" i="1" s="1"/>
  <c r="AE6" i="1" a="1"/>
  <c r="AE6" i="1" s="1"/>
  <c r="AE7" i="1" a="1"/>
  <c r="AE7" i="1" s="1"/>
  <c r="AE8" i="1" a="1"/>
  <c r="AE8" i="1" s="1"/>
  <c r="AE9" i="1" a="1"/>
  <c r="AE9" i="1" s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E23" i="1" a="1"/>
  <c r="AE23" i="1" s="1"/>
  <c r="AE24" i="1" a="1"/>
  <c r="AE24" i="1" s="1"/>
  <c r="AE25" i="1" a="1"/>
  <c r="AE25" i="1" s="1"/>
  <c r="AE26" i="1" a="1"/>
  <c r="AE26" i="1" s="1"/>
  <c r="AE27" i="1" a="1"/>
  <c r="AE27" i="1" s="1"/>
  <c r="AE28" i="1" a="1"/>
  <c r="AE28" i="1" s="1"/>
  <c r="AE29" i="1" a="1"/>
  <c r="AE29" i="1" s="1"/>
  <c r="AE30" i="1" a="1"/>
  <c r="AE30" i="1" s="1"/>
  <c r="AE31" i="1" a="1"/>
  <c r="AE31" i="1" s="1"/>
  <c r="AE32" i="1" a="1"/>
  <c r="AE32" i="1" s="1"/>
  <c r="AE33" i="1" a="1"/>
  <c r="AE33" i="1" s="1"/>
  <c r="AE34" i="1" a="1"/>
  <c r="AE34" i="1" s="1"/>
  <c r="AE35" i="1" a="1"/>
  <c r="AE35" i="1" s="1"/>
  <c r="AE36" i="1" a="1"/>
  <c r="AE36" i="1" s="1"/>
  <c r="AE37" i="1" a="1"/>
  <c r="AE37" i="1" s="1"/>
  <c r="AE38" i="1" a="1"/>
  <c r="AE38" i="1" s="1"/>
  <c r="AE39" i="1" a="1"/>
  <c r="AE39" i="1" s="1"/>
  <c r="AE40" i="1" a="1"/>
  <c r="AE40" i="1" s="1"/>
  <c r="AE41" i="1" a="1"/>
  <c r="AE41" i="1" s="1"/>
  <c r="AE42" i="1" a="1"/>
  <c r="AE42" i="1" s="1"/>
  <c r="AE43" i="1" a="1"/>
  <c r="AE43" i="1" s="1"/>
  <c r="AE44" i="1" a="1"/>
  <c r="AE44" i="1" s="1"/>
  <c r="AE45" i="1" a="1"/>
  <c r="AE45" i="1" s="1"/>
  <c r="AE46" i="1" a="1"/>
  <c r="AE46" i="1" s="1"/>
  <c r="AE47" i="1" a="1"/>
  <c r="AE47" i="1" s="1"/>
  <c r="AE48" i="1" a="1"/>
  <c r="AE48" i="1" s="1"/>
  <c r="AE49" i="1" a="1"/>
  <c r="AE49" i="1" s="1"/>
  <c r="AE50" i="1" a="1"/>
  <c r="AE50" i="1" s="1"/>
  <c r="AE51" i="1" a="1"/>
  <c r="AE51" i="1" s="1"/>
  <c r="AE52" i="1" a="1"/>
  <c r="AE52" i="1" s="1"/>
  <c r="AE53" i="1" a="1"/>
  <c r="AE53" i="1" s="1"/>
  <c r="AE54" i="1" a="1"/>
  <c r="AE54" i="1" s="1"/>
  <c r="AE55" i="1" a="1"/>
  <c r="AE55" i="1" s="1"/>
  <c r="AE56" i="1" a="1"/>
  <c r="AE56" i="1" s="1"/>
  <c r="AE57" i="1" a="1"/>
  <c r="AE57" i="1" s="1"/>
  <c r="AE58" i="1" a="1"/>
  <c r="AE58" i="1" s="1"/>
  <c r="AE59" i="1" a="1"/>
  <c r="AE59" i="1" s="1"/>
  <c r="AE60" i="1" a="1"/>
  <c r="AE60" i="1" s="1"/>
  <c r="AE61" i="1" a="1"/>
  <c r="AE61" i="1" s="1"/>
  <c r="AE62" i="1" a="1"/>
  <c r="AE62" i="1" s="1"/>
  <c r="AE63" i="1" a="1"/>
  <c r="AE63" i="1" s="1"/>
  <c r="AE64" i="1" a="1"/>
  <c r="AE64" i="1" s="1"/>
  <c r="AE65" i="1" a="1"/>
  <c r="AE65" i="1" s="1"/>
  <c r="AE66" i="1" a="1"/>
  <c r="AE66" i="1" s="1"/>
  <c r="AE67" i="1" a="1"/>
  <c r="AE67" i="1" s="1"/>
  <c r="AE68" i="1" a="1"/>
  <c r="AE68" i="1" s="1"/>
  <c r="AE69" i="1" a="1"/>
  <c r="AE69" i="1" s="1"/>
  <c r="AE70" i="1" a="1"/>
  <c r="AE70" i="1" s="1"/>
  <c r="AE71" i="1" a="1"/>
  <c r="AE71" i="1" s="1"/>
  <c r="AE72" i="1" a="1"/>
  <c r="AE72" i="1" s="1"/>
  <c r="AE73" i="1" a="1"/>
  <c r="AE73" i="1" s="1"/>
  <c r="AE74" i="1" a="1"/>
  <c r="AE74" i="1" s="1"/>
  <c r="AE75" i="1" a="1"/>
  <c r="AE75" i="1" s="1"/>
  <c r="AE76" i="1" a="1"/>
  <c r="AE76" i="1" s="1"/>
  <c r="AE77" i="1" a="1"/>
  <c r="AE77" i="1" s="1"/>
  <c r="AE78" i="1" a="1"/>
  <c r="AE78" i="1" s="1"/>
  <c r="AE79" i="1" a="1"/>
  <c r="AE79" i="1" s="1"/>
  <c r="AE80" i="1" a="1"/>
  <c r="AE80" i="1" s="1"/>
  <c r="AE81" i="1" a="1"/>
  <c r="AE81" i="1" s="1"/>
  <c r="AE82" i="1" a="1"/>
  <c r="AE82" i="1" s="1"/>
  <c r="AE83" i="1" a="1"/>
  <c r="AE83" i="1" s="1"/>
  <c r="AE84" i="1" a="1"/>
  <c r="AE84" i="1" s="1"/>
  <c r="AE85" i="1" a="1"/>
  <c r="AE85" i="1" s="1"/>
  <c r="AE86" i="1" a="1"/>
  <c r="AE86" i="1" s="1"/>
  <c r="AE87" i="1" a="1"/>
  <c r="AE87" i="1" s="1"/>
  <c r="AE88" i="1" a="1"/>
  <c r="AE88" i="1" s="1"/>
  <c r="AE89" i="1" a="1"/>
  <c r="AE89" i="1" s="1"/>
  <c r="AE90" i="1" a="1"/>
  <c r="AE90" i="1" s="1"/>
  <c r="AE91" i="1" a="1"/>
  <c r="AE91" i="1" s="1"/>
  <c r="AE92" i="1" a="1"/>
  <c r="AE92" i="1" s="1"/>
  <c r="AE93" i="1" a="1"/>
  <c r="AE93" i="1" s="1"/>
  <c r="AE94" i="1" a="1"/>
  <c r="AE94" i="1" s="1"/>
  <c r="AE95" i="1" a="1"/>
  <c r="AE95" i="1" s="1"/>
  <c r="AE96" i="1" a="1"/>
  <c r="AE96" i="1" s="1"/>
  <c r="AE97" i="1" a="1"/>
  <c r="AE97" i="1" s="1"/>
  <c r="AE98" i="1" a="1"/>
  <c r="AE98" i="1" s="1"/>
  <c r="AE99" i="1" a="1"/>
  <c r="AE99" i="1" s="1"/>
  <c r="AE100" i="1" a="1"/>
  <c r="AE100" i="1" s="1"/>
  <c r="AE101" i="1" a="1"/>
  <c r="AE101" i="1" s="1"/>
  <c r="AE102" i="1" a="1"/>
  <c r="AE102" i="1" s="1"/>
  <c r="AE103" i="1" a="1"/>
  <c r="AE103" i="1" s="1"/>
  <c r="AE104" i="1" a="1"/>
  <c r="AE104" i="1" s="1"/>
  <c r="AE105" i="1" a="1"/>
  <c r="AE105" i="1" s="1"/>
  <c r="AE106" i="1" a="1"/>
  <c r="AE106" i="1" s="1"/>
  <c r="AE107" i="1" a="1"/>
  <c r="AE107" i="1" s="1"/>
  <c r="AE108" i="1" a="1"/>
  <c r="AE108" i="1" s="1"/>
  <c r="AE109" i="1" a="1"/>
  <c r="AE10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1B761-E9C5-465C-BB8C-0820C3C122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E983EA-A9CE-428F-B949-873BA4F18B6C}" name="WorksheetConnection_Week3_class (1)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Week3_class1.xlsxTable3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<sst xmlns="http://schemas.openxmlformats.org/spreadsheetml/2006/main" count="1932" uniqueCount="414">
  <si>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</si>
  <si>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</si>
  <si>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</si>
  <si>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</si>
  <si>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</si>
  <si>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</si>
  <si>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</si>
  <si>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</si>
  <si>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</si>
  <si>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</si>
  <si>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</si>
  <si>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</si>
  <si>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</si>
  <si>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</si>
  <si>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</si>
  <si>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</si>
  <si>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</si>
  <si>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</si>
  <si>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</si>
  <si>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</si>
  <si>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</si>
  <si>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</si>
  <si>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</si>
  <si>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</si>
  <si>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</si>
  <si>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</si>
  <si>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</si>
  <si>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</si>
  <si>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</si>
  <si>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</si>
  <si>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</si>
  <si>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</si>
  <si>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</si>
  <si>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Ã‰vry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</si>
  <si>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</si>
  <si>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</si>
  <si>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</si>
  <si>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</si>
  <si>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</si>
  <si>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</si>
  <si>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</si>
  <si>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</si>
  <si>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</si>
  <si>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</si>
  <si>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</si>
  <si>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</si>
  <si>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</si>
  <si>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</si>
  <si>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>In-Store</t>
  </si>
  <si>
    <t>Medium</t>
  </si>
  <si>
    <t>Not Sensitive</t>
  </si>
  <si>
    <t>PayPal</t>
  </si>
  <si>
    <t>4/16/2024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</si>
  <si>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</si>
  <si>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</si>
  <si>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</si>
  <si>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</si>
  <si>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</si>
  <si>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</si>
  <si>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</si>
  <si>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>Low</t>
  </si>
  <si>
    <t>Smartphone</t>
  </si>
  <si>
    <t>Debit Card</t>
  </si>
  <si>
    <t>3/15/2024</t>
  </si>
  <si>
    <t>Impulsive</t>
  </si>
  <si>
    <t>48-980-6078</t>
  </si>
  <si>
    <t>WiwilÃ­</t>
  </si>
  <si>
    <t>Home Appliances</t>
  </si>
  <si>
    <t>Other</t>
  </si>
  <si>
    <t>Express</t>
  </si>
  <si>
    <t>91-170-9072</t>
  </si>
  <si>
    <t>Widowed</t>
  </si>
  <si>
    <t>Nara</t>
  </si>
  <si>
    <t>Furniture</t>
  </si>
  <si>
    <t>1/30/2024</t>
  </si>
  <si>
    <t>82-561-4233</t>
  </si>
  <si>
    <t>Boro Utara</t>
  </si>
  <si>
    <t>3/19/2024</t>
  </si>
  <si>
    <t>Planned</t>
  </si>
  <si>
    <t>90-144-9193</t>
  </si>
  <si>
    <t>Divorced</t>
  </si>
  <si>
    <t>Liren</t>
  </si>
  <si>
    <t>Online</t>
  </si>
  <si>
    <t>Desktop</t>
  </si>
  <si>
    <t>88-661-4689</t>
  </si>
  <si>
    <t>Taocheng</t>
  </si>
  <si>
    <t>Books</t>
  </si>
  <si>
    <t>3/17/2024</t>
  </si>
  <si>
    <t>37-065-3182</t>
  </si>
  <si>
    <t>GrÃ¥bo</t>
  </si>
  <si>
    <t>Very Sensitive</t>
  </si>
  <si>
    <t>Cash</t>
  </si>
  <si>
    <t>84-894-9222</t>
  </si>
  <si>
    <t>Bigender</t>
  </si>
  <si>
    <t>Pryamitsyno</t>
  </si>
  <si>
    <t>Sports &amp; Outdoors</t>
  </si>
  <si>
    <t>44-674-4037</t>
  </si>
  <si>
    <t>Punta Gorda</t>
  </si>
  <si>
    <t>Mobile Accessories</t>
  </si>
  <si>
    <t>78-116-8349</t>
  </si>
  <si>
    <t>GyÅ‘r</t>
  </si>
  <si>
    <t>12/27/2024</t>
  </si>
  <si>
    <t>19-933-8095</t>
  </si>
  <si>
    <t>Gaosheng</t>
  </si>
  <si>
    <t>Luxury Goods</t>
  </si>
  <si>
    <t>80-684-5072</t>
  </si>
  <si>
    <t>Rokytne</t>
  </si>
  <si>
    <t>Animal Feed</t>
  </si>
  <si>
    <t>7/16/2024</t>
  </si>
  <si>
    <t>23-302-7502</t>
  </si>
  <si>
    <t>Alameda</t>
  </si>
  <si>
    <t>Health Care</t>
  </si>
  <si>
    <t>12/14/2024</t>
  </si>
  <si>
    <t>90-069-8934</t>
  </si>
  <si>
    <t>DhankutÄ</t>
  </si>
  <si>
    <t>Hotels</t>
  </si>
  <si>
    <t>45-073-7243</t>
  </si>
  <si>
    <t>Jindong</t>
  </si>
  <si>
    <t>10/18/2024</t>
  </si>
  <si>
    <t>89-883-2101</t>
  </si>
  <si>
    <t>Ngeru</t>
  </si>
  <si>
    <t>00-477-9449</t>
  </si>
  <si>
    <t>White Rock</t>
  </si>
  <si>
    <t>Packages)</t>
  </si>
  <si>
    <t>7/23/2024</t>
  </si>
  <si>
    <t>67-159-7366</t>
  </si>
  <si>
    <t>Monastyrshchina</t>
  </si>
  <si>
    <t>Electronics</t>
  </si>
  <si>
    <t>85-691-4293</t>
  </si>
  <si>
    <t>Pangkalanbunut</t>
  </si>
  <si>
    <t>Software &amp; Apps</t>
  </si>
  <si>
    <t>56-085-0464</t>
  </si>
  <si>
    <t>Lederaba</t>
  </si>
  <si>
    <t>Baby Products</t>
  </si>
  <si>
    <t>7/31/2024</t>
  </si>
  <si>
    <t>33-264-2822</t>
  </si>
  <si>
    <t>Lugo</t>
  </si>
  <si>
    <t>Toys &amp; Games</t>
  </si>
  <si>
    <t>2/25/2024</t>
  </si>
  <si>
    <t>95-478-2650</t>
  </si>
  <si>
    <t>SÃ£o Roque</t>
  </si>
  <si>
    <t>04-349-6759</t>
  </si>
  <si>
    <t>BanÄ« KhaddÄsh</t>
  </si>
  <si>
    <t>12/25/2024</t>
  </si>
  <si>
    <t>21-755-8745</t>
  </si>
  <si>
    <t>Montpellier</t>
  </si>
  <si>
    <t>5/31/2024</t>
  </si>
  <si>
    <t>29-625-7057</t>
  </si>
  <si>
    <t>Nesovice</t>
  </si>
  <si>
    <t>Arts &amp; Crafts</t>
  </si>
  <si>
    <t>58-623-8404</t>
  </si>
  <si>
    <t>Pasirhuni</t>
  </si>
  <si>
    <t>7/24/2024</t>
  </si>
  <si>
    <t>56-506-4709</t>
  </si>
  <si>
    <t>Glendale</t>
  </si>
  <si>
    <t>11/16/2024</t>
  </si>
  <si>
    <t>25-839-8670</t>
  </si>
  <si>
    <t>TÃ¡la</t>
  </si>
  <si>
    <t>Health Supplements</t>
  </si>
  <si>
    <t>89-194-0596</t>
  </si>
  <si>
    <t>Marseille</t>
  </si>
  <si>
    <t>55-163-1389</t>
  </si>
  <si>
    <t>Nasielsk</t>
  </si>
  <si>
    <t>6/29/2024</t>
  </si>
  <si>
    <t>28-225-4286</t>
  </si>
  <si>
    <t>Genderfluid</t>
  </si>
  <si>
    <t>Paris 06</t>
  </si>
  <si>
    <t>1/26/2024</t>
  </si>
  <si>
    <t>14-305-8712</t>
  </si>
  <si>
    <t>Bronnitsy</t>
  </si>
  <si>
    <t>6/15/2024</t>
  </si>
  <si>
    <t>85-738-6864</t>
  </si>
  <si>
    <t>Inayauan</t>
  </si>
  <si>
    <t>17-198-5155</t>
  </si>
  <si>
    <t>Qianjin</t>
  </si>
  <si>
    <t>5/21/2024</t>
  </si>
  <si>
    <t>15-354-9904</t>
  </si>
  <si>
    <t>Bagahanlad</t>
  </si>
  <si>
    <t>Groceries</t>
  </si>
  <si>
    <t>35-198-9248</t>
  </si>
  <si>
    <t>Rzewnie</t>
  </si>
  <si>
    <t>03-950-6074</t>
  </si>
  <si>
    <t>Strabychovo</t>
  </si>
  <si>
    <t>9/13/2024</t>
  </si>
  <si>
    <t>19-999-0134</t>
  </si>
  <si>
    <t>Hongqi</t>
  </si>
  <si>
    <t>57-989-1487</t>
  </si>
  <si>
    <t>Oeoh</t>
  </si>
  <si>
    <t>10/21/2024</t>
  </si>
  <si>
    <t>07-816-2673</t>
  </si>
  <si>
    <t>Topolâ€™noye</t>
  </si>
  <si>
    <t>11/17/2024</t>
  </si>
  <si>
    <t>70-761-3550</t>
  </si>
  <si>
    <t>KovÃ¡Å™ov</t>
  </si>
  <si>
    <t>38-242-3251</t>
  </si>
  <si>
    <t>Majdal BanÄ« FÄá¸‘il</t>
  </si>
  <si>
    <t>95-525-0842</t>
  </si>
  <si>
    <t>Delta del Tigre</t>
  </si>
  <si>
    <t>11/13/2024</t>
  </si>
  <si>
    <t>37-101-4922</t>
  </si>
  <si>
    <t>Santa Cruz La Laguna</t>
  </si>
  <si>
    <t>12/24/2024</t>
  </si>
  <si>
    <t>37-128-5425</t>
  </si>
  <si>
    <t>Manchester</t>
  </si>
  <si>
    <t>27-439-9545</t>
  </si>
  <si>
    <t>NorrkÃ¶ping</t>
  </si>
  <si>
    <t>8/25/2024</t>
  </si>
  <si>
    <t>37-126-7954</t>
  </si>
  <si>
    <t>SoÅ›no</t>
  </si>
  <si>
    <t>Clothing</t>
  </si>
  <si>
    <t>8/17/2024</t>
  </si>
  <si>
    <t>82-990-0504</t>
  </si>
  <si>
    <t>PÃ©lla</t>
  </si>
  <si>
    <t>21-734-0212</t>
  </si>
  <si>
    <t>Namur</t>
  </si>
  <si>
    <t>Beauty &amp; Personal Care</t>
  </si>
  <si>
    <t>8/24/2024</t>
  </si>
  <si>
    <t>76-148-9413</t>
  </si>
  <si>
    <t>Non-binary</t>
  </si>
  <si>
    <t>Benevides</t>
  </si>
  <si>
    <t>53-639-3774</t>
  </si>
  <si>
    <t>Qinghaihu</t>
  </si>
  <si>
    <t>Travel &amp; Leisure (Flights</t>
  </si>
  <si>
    <t>20-817-9584</t>
  </si>
  <si>
    <t>AlfeizerÃ£o</t>
  </si>
  <si>
    <t>6/17/2024</t>
  </si>
  <si>
    <t>18-655-3670</t>
  </si>
  <si>
    <t>ProstÅ™ednÃ­ BeÄva</t>
  </si>
  <si>
    <t>72-431-5021</t>
  </si>
  <si>
    <t>Oeiras</t>
  </si>
  <si>
    <t>12/16/2024</t>
  </si>
  <si>
    <t>07-479-3919</t>
  </si>
  <si>
    <t>KÃ½thnos</t>
  </si>
  <si>
    <t>10/31/2024</t>
  </si>
  <si>
    <t>17-032-6274</t>
  </si>
  <si>
    <t>Rizal</t>
  </si>
  <si>
    <t>64-166-9097</t>
  </si>
  <si>
    <t>Fullerton</t>
  </si>
  <si>
    <t>2/24/2024</t>
  </si>
  <si>
    <t>39-499-3854</t>
  </si>
  <si>
    <t>Huaidao</t>
  </si>
  <si>
    <t>39-636-5871</t>
  </si>
  <si>
    <t>Bilice</t>
  </si>
  <si>
    <t>11/24/2024</t>
  </si>
  <si>
    <t>71-667-2334</t>
  </si>
  <si>
    <t>Polygender</t>
  </si>
  <si>
    <t>Isla Verde</t>
  </si>
  <si>
    <t>35-192-9050</t>
  </si>
  <si>
    <t>Hunkuyi</t>
  </si>
  <si>
    <t>8/18/2024</t>
  </si>
  <si>
    <t>91-440-0011</t>
  </si>
  <si>
    <t>Shiree</t>
  </si>
  <si>
    <t>20-830-4758</t>
  </si>
  <si>
    <t>Strezhevoy</t>
  </si>
  <si>
    <t>84-337-1016</t>
  </si>
  <si>
    <t>Longxing</t>
  </si>
  <si>
    <t>09-346-4992</t>
  </si>
  <si>
    <t>JesÃºs MenÃ©ndez</t>
  </si>
  <si>
    <t>9/20/2024</t>
  </si>
  <si>
    <t>75-083-3608</t>
  </si>
  <si>
    <t>Hongguang</t>
  </si>
  <si>
    <t>29-779-7209</t>
  </si>
  <si>
    <t>Pilaya</t>
  </si>
  <si>
    <t>12-409-5166</t>
  </si>
  <si>
    <t>Camp Ithier</t>
  </si>
  <si>
    <t>6/21/2024</t>
  </si>
  <si>
    <t>07-024-4995</t>
  </si>
  <si>
    <t>Holboo</t>
  </si>
  <si>
    <t>74-478-5950</t>
  </si>
  <si>
    <t>Luxi</t>
  </si>
  <si>
    <t>2/26/2024</t>
  </si>
  <si>
    <t>31-395-1286</t>
  </si>
  <si>
    <t>Ostashkov</t>
  </si>
  <si>
    <t>6/14/2024</t>
  </si>
  <si>
    <t>60-838-4334</t>
  </si>
  <si>
    <t>Hongshanzui</t>
  </si>
  <si>
    <t>3/24/2024</t>
  </si>
  <si>
    <t>71-197-8227</t>
  </si>
  <si>
    <t>Tocoa</t>
  </si>
  <si>
    <t>4/27/2024</t>
  </si>
  <si>
    <t>15-530-3861</t>
  </si>
  <si>
    <t>Bayan Tuohai</t>
  </si>
  <si>
    <t>30-567-4471</t>
  </si>
  <si>
    <t>Parumasan</t>
  </si>
  <si>
    <t>04-465-1819</t>
  </si>
  <si>
    <t>Karpogory</t>
  </si>
  <si>
    <t>Jewelry &amp; Accessories</t>
  </si>
  <si>
    <t>4/18/2024</t>
  </si>
  <si>
    <t>69-692-0614</t>
  </si>
  <si>
    <t>ShÄhzÄdpur</t>
  </si>
  <si>
    <t>4/21/2024</t>
  </si>
  <si>
    <t>12-839-8066</t>
  </si>
  <si>
    <t>Muaratiga</t>
  </si>
  <si>
    <t>9/25/2024</t>
  </si>
  <si>
    <t>05-465-8765</t>
  </si>
  <si>
    <t>Gjegjan</t>
  </si>
  <si>
    <t>81-580-3810</t>
  </si>
  <si>
    <t>CrÃ©teil</t>
  </si>
  <si>
    <t>9/14/2024</t>
  </si>
  <si>
    <t>74-353-6312</t>
  </si>
  <si>
    <t>Pameungpeuk</t>
  </si>
  <si>
    <t>3/29/2024</t>
  </si>
  <si>
    <t>78-824-1887</t>
  </si>
  <si>
    <t>Junshan</t>
  </si>
  <si>
    <t>31-218-0024</t>
  </si>
  <si>
    <t>Lewotola</t>
  </si>
  <si>
    <t>15-711-4107</t>
  </si>
  <si>
    <t>Laocheng</t>
  </si>
  <si>
    <t>76-672-1193</t>
  </si>
  <si>
    <t>GuacarÃ­</t>
  </si>
  <si>
    <t>46-503-5589</t>
  </si>
  <si>
    <t>Sancang</t>
  </si>
  <si>
    <t>87-499-6916</t>
  </si>
  <si>
    <t>Ndewel</t>
  </si>
  <si>
    <t>30-520-8656</t>
  </si>
  <si>
    <t>San Patricio</t>
  </si>
  <si>
    <t>3/28/2024</t>
  </si>
  <si>
    <t>36-323-3504</t>
  </si>
  <si>
    <t>Fengtai</t>
  </si>
  <si>
    <t>5/13/2024</t>
  </si>
  <si>
    <t>93-810-4051</t>
  </si>
  <si>
    <t>Agender</t>
  </si>
  <si>
    <t>á¸awrÄn ad Daydah</t>
  </si>
  <si>
    <t>11/23/2024</t>
  </si>
  <si>
    <t>66-515-3648</t>
  </si>
  <si>
    <t>Magdalena</t>
  </si>
  <si>
    <t>9/18/2024</t>
  </si>
  <si>
    <t>09-216-1957</t>
  </si>
  <si>
    <t>LeÅ›nica</t>
  </si>
  <si>
    <t>23-253-2565</t>
  </si>
  <si>
    <t>Hinlayagan Ilaud</t>
  </si>
  <si>
    <t>74-509-4985</t>
  </si>
  <si>
    <t>Forshaga</t>
  </si>
  <si>
    <t>6/28/2024</t>
  </si>
  <si>
    <t>05-857-1572</t>
  </si>
  <si>
    <t>Rakszawa</t>
  </si>
  <si>
    <t>3/18/2024</t>
  </si>
  <si>
    <t>26-521-8328</t>
  </si>
  <si>
    <t>Fengjiang</t>
  </si>
  <si>
    <t>10/15/2024</t>
  </si>
  <si>
    <t>31-147-6197</t>
  </si>
  <si>
    <t>Jiangcun</t>
  </si>
  <si>
    <t>90-093-0469</t>
  </si>
  <si>
    <t>ÅŒkuchi</t>
  </si>
  <si>
    <t>11/29/2024</t>
  </si>
  <si>
    <t>38-935-1865</t>
  </si>
  <si>
    <t>Novoukrainskiy</t>
  </si>
  <si>
    <t>75-953-8663</t>
  </si>
  <si>
    <t>Acobambilla</t>
  </si>
  <si>
    <t>38-478-2681</t>
  </si>
  <si>
    <t>Kyonju</t>
  </si>
  <si>
    <t>70-895-5298</t>
  </si>
  <si>
    <t>Pomar</t>
  </si>
  <si>
    <t>6/13/2024</t>
  </si>
  <si>
    <t>02-653-5884</t>
  </si>
  <si>
    <t>ZalÅ£an</t>
  </si>
  <si>
    <t>7/13/2024</t>
  </si>
  <si>
    <t>11-719-8800</t>
  </si>
  <si>
    <t>TrÃ©lazÃ©</t>
  </si>
  <si>
    <t>59-355-5251</t>
  </si>
  <si>
    <t>Messina</t>
  </si>
  <si>
    <t>8/26/2024</t>
  </si>
  <si>
    <t>82-572-9091</t>
  </si>
  <si>
    <t>MrÄ…gowo</t>
  </si>
  <si>
    <t>Column1</t>
  </si>
  <si>
    <t>customer tenure</t>
  </si>
  <si>
    <t>Row Labels</t>
  </si>
  <si>
    <t>Grand Total</t>
  </si>
  <si>
    <t>unique</t>
  </si>
  <si>
    <t>Sum of Purchase_Amount2</t>
  </si>
  <si>
    <t>Average of Purchase_Amount</t>
  </si>
  <si>
    <t>Age groups</t>
  </si>
  <si>
    <t>Count of Age groups</t>
  </si>
  <si>
    <t>&lt;20</t>
  </si>
  <si>
    <t>20-29</t>
  </si>
  <si>
    <t>30-39</t>
  </si>
  <si>
    <t>40-49</t>
  </si>
  <si>
    <t>Sum of Purchase_Amount</t>
  </si>
  <si>
    <t>1/2/2024</t>
  </si>
  <si>
    <t>1/3/2024</t>
  </si>
  <si>
    <t>1/4/2024</t>
  </si>
  <si>
    <t>1/9/2024</t>
  </si>
  <si>
    <t>10/10/2024</t>
  </si>
  <si>
    <t>10/2/2024</t>
  </si>
  <si>
    <t>10/6/2024</t>
  </si>
  <si>
    <t>10/7/2024</t>
  </si>
  <si>
    <t>11/3/2024</t>
  </si>
  <si>
    <t>11/6/2024</t>
  </si>
  <si>
    <t>11/8/2024</t>
  </si>
  <si>
    <t>12/6/2024</t>
  </si>
  <si>
    <t>12/7/2024</t>
  </si>
  <si>
    <t>2/4/2024</t>
  </si>
  <si>
    <t>2/7/2024</t>
  </si>
  <si>
    <t>3/3/2024</t>
  </si>
  <si>
    <t>3/8/2024</t>
  </si>
  <si>
    <t>4/10/2024</t>
  </si>
  <si>
    <t>4/12/2024</t>
  </si>
  <si>
    <t>4/3/2024</t>
  </si>
  <si>
    <t>4/8/2024</t>
  </si>
  <si>
    <t>4/9/2024</t>
  </si>
  <si>
    <t>5/10/2024</t>
  </si>
  <si>
    <t>5/8/2024</t>
  </si>
  <si>
    <t>6/12/2024</t>
  </si>
  <si>
    <t>6/6/2024</t>
  </si>
  <si>
    <t>6/7/2024</t>
  </si>
  <si>
    <t>6/8/2024</t>
  </si>
  <si>
    <t>7/10/2024</t>
  </si>
  <si>
    <t>7/11/2024</t>
  </si>
  <si>
    <t>7/12/2024</t>
  </si>
  <si>
    <t>8/4/2024</t>
  </si>
  <si>
    <t>8/6/2024</t>
  </si>
  <si>
    <t>8/7/2024</t>
  </si>
  <si>
    <t>9/12/2024</t>
  </si>
  <si>
    <t>9/7/2024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</si>
</sst>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[Week3_class (1) (1).xlsx]distribution chart!PivotTable8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5">
                    <a:lumMod val="60000"/>
                    <a:lumOff val="40000"/>
                  </a:schemeClr>
                </a:solidFill>
              </a:rPr>
              <a:t>Distribution</a:t>
            </a:r>
            <a:r>
              <a:rPr lang="en-US" b="1" i="1" u="sng" baseline="0">
                <a:solidFill>
                  <a:schemeClr val="accent5">
                    <a:lumMod val="60000"/>
                    <a:lumOff val="40000"/>
                  </a:schemeClr>
                </a:solidFill>
              </a:rPr>
              <a:t> chart</a:t>
            </a:r>
            <a:endParaRPr lang="en-US" b="1" i="1" u="sng">
              <a:solidFill>
                <a:schemeClr val="accent5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'distribution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chart'!$A$4:$A$8</c:f>
              <c:strCache>
                <c:ptCount val="4"/>
                <c:pt idx="0">
                  <c:v>&lt;20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</c:strCache>
            </c:strRef>
          </c:cat>
          <c:val>
            <c:numRef>
              <c:f>'distribution chart'!$B$4:$B$8</c:f>
              <c:numCache>
                <c:formatCode>General</c:formatCode>
                <c:ptCount val="4"/>
                <c:pt idx="0">
                  <c:v>6</c:v>
                </c:pt>
                <c:pt idx="1">
                  <c:v>33</c:v>
                </c:pt>
                <c:pt idx="2">
                  <c:v>42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4-44BB-9040-D3D064793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5156543"/>
        <c:axId val="1085155583"/>
      </c:barChart>
      <c:catAx>
        <c:axId val="108515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155583"/>
        <c:crosses val="autoZero"/>
        <c:auto val="1"/>
        <c:lblAlgn val="ctr"/>
        <c:lblOffset val="100"/>
        <c:noMultiLvlLbl val="0"/>
      </c:catAx>
      <c:valAx>
        <c:axId val="10851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1565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[Week3_class (1) (1).xlsx]average purchase amount, time!PivotTable4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2">
                    <a:lumMod val="75000"/>
                  </a:schemeClr>
                </a:solidFill>
              </a:rPr>
              <a:t>Average</a:t>
            </a:r>
            <a:r>
              <a:rPr lang="en-US" b="1" i="1" u="sng" baseline="0">
                <a:solidFill>
                  <a:schemeClr val="accent2">
                    <a:lumMod val="75000"/>
                  </a:schemeClr>
                </a:solidFill>
              </a:rPr>
              <a:t> purchase amount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purchase amount, time'!$B$2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purchase amount, time'!$A$3:$A$95</c:f>
              <c:strCache>
                <c:ptCount val="92"/>
                <c:pt idx="0">
                  <c:v>1/2/2024</c:v>
                </c:pt>
                <c:pt idx="1">
                  <c:v>1/26/2024</c:v>
                </c:pt>
                <c:pt idx="2">
                  <c:v>1/3/2024</c:v>
                </c:pt>
                <c:pt idx="3">
                  <c:v>1/30/2024</c:v>
                </c:pt>
                <c:pt idx="4">
                  <c:v>1/4/2024</c:v>
                </c:pt>
                <c:pt idx="5">
                  <c:v>1/9/2024</c:v>
                </c:pt>
                <c:pt idx="6">
                  <c:v>10/10/2024</c:v>
                </c:pt>
                <c:pt idx="7">
                  <c:v>10/15/2024</c:v>
                </c:pt>
                <c:pt idx="8">
                  <c:v>10/18/2024</c:v>
                </c:pt>
                <c:pt idx="9">
                  <c:v>10/2/2024</c:v>
                </c:pt>
                <c:pt idx="10">
                  <c:v>10/21/2024</c:v>
                </c:pt>
                <c:pt idx="11">
                  <c:v>10/31/2024</c:v>
                </c:pt>
                <c:pt idx="12">
                  <c:v>10/6/2024</c:v>
                </c:pt>
                <c:pt idx="13">
                  <c:v>10/7/2024</c:v>
                </c:pt>
                <c:pt idx="14">
                  <c:v>11/13/2024</c:v>
                </c:pt>
                <c:pt idx="15">
                  <c:v>11/16/2024</c:v>
                </c:pt>
                <c:pt idx="16">
                  <c:v>11/17/2024</c:v>
                </c:pt>
                <c:pt idx="17">
                  <c:v>11/23/2024</c:v>
                </c:pt>
                <c:pt idx="18">
                  <c:v>11/24/2024</c:v>
                </c:pt>
                <c:pt idx="19">
                  <c:v>11/29/2024</c:v>
                </c:pt>
                <c:pt idx="20">
                  <c:v>11/3/2024</c:v>
                </c:pt>
                <c:pt idx="21">
                  <c:v>11/6/2024</c:v>
                </c:pt>
                <c:pt idx="22">
                  <c:v>11/8/2024</c:v>
                </c:pt>
                <c:pt idx="23">
                  <c:v>12/14/2024</c:v>
                </c:pt>
                <c:pt idx="24">
                  <c:v>12/16/2024</c:v>
                </c:pt>
                <c:pt idx="25">
                  <c:v>12/24/2024</c:v>
                </c:pt>
                <c:pt idx="26">
                  <c:v>12/25/2024</c:v>
                </c:pt>
                <c:pt idx="27">
                  <c:v>12/27/2024</c:v>
                </c:pt>
                <c:pt idx="28">
                  <c:v>12/6/2024</c:v>
                </c:pt>
                <c:pt idx="29">
                  <c:v>12/7/2024</c:v>
                </c:pt>
                <c:pt idx="30">
                  <c:v>2/24/2024</c:v>
                </c:pt>
                <c:pt idx="31">
                  <c:v>2/25/2024</c:v>
                </c:pt>
                <c:pt idx="32">
                  <c:v>2/26/2024</c:v>
                </c:pt>
                <c:pt idx="33">
                  <c:v>2/4/2024</c:v>
                </c:pt>
                <c:pt idx="34">
                  <c:v>2/7/2024</c:v>
                </c:pt>
                <c:pt idx="35">
                  <c:v>3/15/2024</c:v>
                </c:pt>
                <c:pt idx="36">
                  <c:v>3/17/2024</c:v>
                </c:pt>
                <c:pt idx="37">
                  <c:v>3/18/2024</c:v>
                </c:pt>
                <c:pt idx="38">
                  <c:v>3/19/2024</c:v>
                </c:pt>
                <c:pt idx="39">
                  <c:v>3/24/2024</c:v>
                </c:pt>
                <c:pt idx="40">
                  <c:v>3/28/2024</c:v>
                </c:pt>
                <c:pt idx="41">
                  <c:v>3/29/2024</c:v>
                </c:pt>
                <c:pt idx="42">
                  <c:v>3/3/2024</c:v>
                </c:pt>
                <c:pt idx="43">
                  <c:v>3/8/2024</c:v>
                </c:pt>
                <c:pt idx="44">
                  <c:v>4/10/2024</c:v>
                </c:pt>
                <c:pt idx="45">
                  <c:v>4/12/2024</c:v>
                </c:pt>
                <c:pt idx="46">
                  <c:v>4/16/2024</c:v>
                </c:pt>
                <c:pt idx="47">
                  <c:v>4/18/2024</c:v>
                </c:pt>
                <c:pt idx="48">
                  <c:v>4/21/2024</c:v>
                </c:pt>
                <c:pt idx="49">
                  <c:v>4/27/2024</c:v>
                </c:pt>
                <c:pt idx="50">
                  <c:v>4/3/2024</c:v>
                </c:pt>
                <c:pt idx="51">
                  <c:v>4/8/2024</c:v>
                </c:pt>
                <c:pt idx="52">
                  <c:v>4/9/2024</c:v>
                </c:pt>
                <c:pt idx="53">
                  <c:v>5/10/2024</c:v>
                </c:pt>
                <c:pt idx="54">
                  <c:v>5/13/2024</c:v>
                </c:pt>
                <c:pt idx="55">
                  <c:v>5/21/2024</c:v>
                </c:pt>
                <c:pt idx="56">
                  <c:v>5/31/2024</c:v>
                </c:pt>
                <c:pt idx="57">
                  <c:v>5/8/2024</c:v>
                </c:pt>
                <c:pt idx="58">
                  <c:v>6/12/2024</c:v>
                </c:pt>
                <c:pt idx="59">
                  <c:v>6/13/2024</c:v>
                </c:pt>
                <c:pt idx="60">
                  <c:v>6/14/2024</c:v>
                </c:pt>
                <c:pt idx="61">
                  <c:v>6/15/2024</c:v>
                </c:pt>
                <c:pt idx="62">
                  <c:v>6/17/2024</c:v>
                </c:pt>
                <c:pt idx="63">
                  <c:v>6/21/2024</c:v>
                </c:pt>
                <c:pt idx="64">
                  <c:v>6/28/2024</c:v>
                </c:pt>
                <c:pt idx="65">
                  <c:v>6/29/2024</c:v>
                </c:pt>
                <c:pt idx="66">
                  <c:v>6/6/2024</c:v>
                </c:pt>
                <c:pt idx="67">
                  <c:v>6/7/2024</c:v>
                </c:pt>
                <c:pt idx="68">
                  <c:v>6/8/2024</c:v>
                </c:pt>
                <c:pt idx="69">
                  <c:v>7/10/2024</c:v>
                </c:pt>
                <c:pt idx="70">
                  <c:v>7/11/2024</c:v>
                </c:pt>
                <c:pt idx="71">
                  <c:v>7/12/2024</c:v>
                </c:pt>
                <c:pt idx="72">
                  <c:v>7/13/2024</c:v>
                </c:pt>
                <c:pt idx="73">
                  <c:v>7/16/2024</c:v>
                </c:pt>
                <c:pt idx="74">
                  <c:v>7/23/2024</c:v>
                </c:pt>
                <c:pt idx="75">
                  <c:v>7/24/2024</c:v>
                </c:pt>
                <c:pt idx="76">
                  <c:v>7/31/2024</c:v>
                </c:pt>
                <c:pt idx="77">
                  <c:v>8/17/2024</c:v>
                </c:pt>
                <c:pt idx="78">
                  <c:v>8/18/2024</c:v>
                </c:pt>
                <c:pt idx="79">
                  <c:v>8/24/2024</c:v>
                </c:pt>
                <c:pt idx="80">
                  <c:v>8/25/2024</c:v>
                </c:pt>
                <c:pt idx="81">
                  <c:v>8/26/2024</c:v>
                </c:pt>
                <c:pt idx="82">
                  <c:v>8/4/2024</c:v>
                </c:pt>
                <c:pt idx="83">
                  <c:v>8/6/2024</c:v>
                </c:pt>
                <c:pt idx="84">
                  <c:v>8/7/2024</c:v>
                </c:pt>
                <c:pt idx="85">
                  <c:v>9/12/2024</c:v>
                </c:pt>
                <c:pt idx="86">
                  <c:v>9/13/2024</c:v>
                </c:pt>
                <c:pt idx="87">
                  <c:v>9/14/2024</c:v>
                </c:pt>
                <c:pt idx="88">
                  <c:v>9/18/2024</c:v>
                </c:pt>
                <c:pt idx="89">
                  <c:v>9/20/2024</c:v>
                </c:pt>
                <c:pt idx="90">
                  <c:v>9/25/2024</c:v>
                </c:pt>
                <c:pt idx="91">
                  <c:v>9/7/2024</c:v>
                </c:pt>
              </c:strCache>
            </c:strRef>
          </c:cat>
          <c:val>
            <c:numRef>
              <c:f>'average purchase amount, time'!$B$3:$B$95</c:f>
              <c:numCache>
                <c:formatCode>General</c:formatCode>
                <c:ptCount val="92"/>
                <c:pt idx="0">
                  <c:v>299.31</c:v>
                </c:pt>
                <c:pt idx="1">
                  <c:v>282.13</c:v>
                </c:pt>
                <c:pt idx="2">
                  <c:v>333.8</c:v>
                </c:pt>
                <c:pt idx="3">
                  <c:v>211.7</c:v>
                </c:pt>
                <c:pt idx="4">
                  <c:v>378.87</c:v>
                </c:pt>
                <c:pt idx="5">
                  <c:v>338.2</c:v>
                </c:pt>
                <c:pt idx="6">
                  <c:v>111.75</c:v>
                </c:pt>
                <c:pt idx="7">
                  <c:v>378.59</c:v>
                </c:pt>
                <c:pt idx="8">
                  <c:v>356.45</c:v>
                </c:pt>
                <c:pt idx="9">
                  <c:v>354.7</c:v>
                </c:pt>
                <c:pt idx="10">
                  <c:v>329.41</c:v>
                </c:pt>
                <c:pt idx="11">
                  <c:v>171.61</c:v>
                </c:pt>
                <c:pt idx="12">
                  <c:v>201.96</c:v>
                </c:pt>
                <c:pt idx="13">
                  <c:v>467.995</c:v>
                </c:pt>
                <c:pt idx="14">
                  <c:v>110.4</c:v>
                </c:pt>
                <c:pt idx="15">
                  <c:v>135.80000000000001</c:v>
                </c:pt>
                <c:pt idx="16">
                  <c:v>54.46</c:v>
                </c:pt>
                <c:pt idx="17">
                  <c:v>188.77</c:v>
                </c:pt>
                <c:pt idx="18">
                  <c:v>362.01</c:v>
                </c:pt>
                <c:pt idx="19">
                  <c:v>444.87</c:v>
                </c:pt>
                <c:pt idx="20">
                  <c:v>328.36</c:v>
                </c:pt>
                <c:pt idx="21">
                  <c:v>166</c:v>
                </c:pt>
                <c:pt idx="22">
                  <c:v>211.87666666666667</c:v>
                </c:pt>
                <c:pt idx="23">
                  <c:v>58.51</c:v>
                </c:pt>
                <c:pt idx="24">
                  <c:v>427.48</c:v>
                </c:pt>
                <c:pt idx="25">
                  <c:v>76.27</c:v>
                </c:pt>
                <c:pt idx="26">
                  <c:v>253.37</c:v>
                </c:pt>
                <c:pt idx="27">
                  <c:v>238.93</c:v>
                </c:pt>
                <c:pt idx="28">
                  <c:v>449.13</c:v>
                </c:pt>
                <c:pt idx="29">
                  <c:v>286.43</c:v>
                </c:pt>
                <c:pt idx="30">
                  <c:v>310.17</c:v>
                </c:pt>
                <c:pt idx="31">
                  <c:v>267.36500000000001</c:v>
                </c:pt>
                <c:pt idx="32">
                  <c:v>424.39</c:v>
                </c:pt>
                <c:pt idx="33">
                  <c:v>391.38</c:v>
                </c:pt>
                <c:pt idx="34">
                  <c:v>389.7</c:v>
                </c:pt>
                <c:pt idx="35">
                  <c:v>456.31</c:v>
                </c:pt>
                <c:pt idx="36">
                  <c:v>218.06</c:v>
                </c:pt>
                <c:pt idx="37">
                  <c:v>421.95</c:v>
                </c:pt>
                <c:pt idx="38">
                  <c:v>487.95</c:v>
                </c:pt>
                <c:pt idx="39">
                  <c:v>454.57</c:v>
                </c:pt>
                <c:pt idx="40">
                  <c:v>194.93</c:v>
                </c:pt>
                <c:pt idx="41">
                  <c:v>113.88</c:v>
                </c:pt>
                <c:pt idx="42">
                  <c:v>293.04000000000002</c:v>
                </c:pt>
                <c:pt idx="43">
                  <c:v>477.63499999999999</c:v>
                </c:pt>
                <c:pt idx="44">
                  <c:v>101.31</c:v>
                </c:pt>
                <c:pt idx="45">
                  <c:v>275.37</c:v>
                </c:pt>
                <c:pt idx="46">
                  <c:v>222.22</c:v>
                </c:pt>
                <c:pt idx="47">
                  <c:v>354.87</c:v>
                </c:pt>
                <c:pt idx="48">
                  <c:v>214.48</c:v>
                </c:pt>
                <c:pt idx="49">
                  <c:v>298.38</c:v>
                </c:pt>
                <c:pt idx="50">
                  <c:v>263.14999999999998</c:v>
                </c:pt>
                <c:pt idx="51">
                  <c:v>392.08</c:v>
                </c:pt>
                <c:pt idx="52">
                  <c:v>417.70499999999998</c:v>
                </c:pt>
                <c:pt idx="53">
                  <c:v>333.32</c:v>
                </c:pt>
                <c:pt idx="54">
                  <c:v>377.67</c:v>
                </c:pt>
                <c:pt idx="55">
                  <c:v>52.34</c:v>
                </c:pt>
                <c:pt idx="56">
                  <c:v>136.53</c:v>
                </c:pt>
                <c:pt idx="57">
                  <c:v>61.22</c:v>
                </c:pt>
                <c:pt idx="58">
                  <c:v>353.4</c:v>
                </c:pt>
                <c:pt idx="59">
                  <c:v>450.66</c:v>
                </c:pt>
                <c:pt idx="60">
                  <c:v>197.12</c:v>
                </c:pt>
                <c:pt idx="61">
                  <c:v>295.29000000000002</c:v>
                </c:pt>
                <c:pt idx="62">
                  <c:v>169.28</c:v>
                </c:pt>
                <c:pt idx="63">
                  <c:v>368.4</c:v>
                </c:pt>
                <c:pt idx="64">
                  <c:v>211.16</c:v>
                </c:pt>
                <c:pt idx="65">
                  <c:v>433.82</c:v>
                </c:pt>
                <c:pt idx="66">
                  <c:v>121.57</c:v>
                </c:pt>
                <c:pt idx="67">
                  <c:v>382.24</c:v>
                </c:pt>
                <c:pt idx="68">
                  <c:v>111.24</c:v>
                </c:pt>
                <c:pt idx="69">
                  <c:v>418.83</c:v>
                </c:pt>
                <c:pt idx="70">
                  <c:v>111.7</c:v>
                </c:pt>
                <c:pt idx="71">
                  <c:v>240.28</c:v>
                </c:pt>
                <c:pt idx="72">
                  <c:v>164.27</c:v>
                </c:pt>
                <c:pt idx="73">
                  <c:v>224.22666666666666</c:v>
                </c:pt>
                <c:pt idx="74">
                  <c:v>458.73</c:v>
                </c:pt>
                <c:pt idx="75">
                  <c:v>169.51499999999999</c:v>
                </c:pt>
                <c:pt idx="76">
                  <c:v>56.74</c:v>
                </c:pt>
                <c:pt idx="77">
                  <c:v>227.57</c:v>
                </c:pt>
                <c:pt idx="78">
                  <c:v>395.97</c:v>
                </c:pt>
                <c:pt idx="79">
                  <c:v>423.92</c:v>
                </c:pt>
                <c:pt idx="80">
                  <c:v>51.22</c:v>
                </c:pt>
                <c:pt idx="81">
                  <c:v>377.77</c:v>
                </c:pt>
                <c:pt idx="82">
                  <c:v>215.54</c:v>
                </c:pt>
                <c:pt idx="83">
                  <c:v>138.88</c:v>
                </c:pt>
                <c:pt idx="84">
                  <c:v>490.75</c:v>
                </c:pt>
                <c:pt idx="85">
                  <c:v>308.99</c:v>
                </c:pt>
                <c:pt idx="86">
                  <c:v>371.58</c:v>
                </c:pt>
                <c:pt idx="87">
                  <c:v>79</c:v>
                </c:pt>
                <c:pt idx="88">
                  <c:v>366.77</c:v>
                </c:pt>
                <c:pt idx="89">
                  <c:v>223.47</c:v>
                </c:pt>
                <c:pt idx="90">
                  <c:v>399.58</c:v>
                </c:pt>
                <c:pt idx="91">
                  <c:v>254.66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C-4DBB-AE6F-AC971380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380912"/>
        <c:axId val="710381392"/>
      </c:lineChart>
      <c:catAx>
        <c:axId val="71038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81392"/>
        <c:crosses val="autoZero"/>
        <c:auto val="1"/>
        <c:lblAlgn val="ctr"/>
        <c:lblOffset val="100"/>
        <c:noMultiLvlLbl val="0"/>
      </c:catAx>
      <c:valAx>
        <c:axId val="7103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8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[Week3_class (1) (1).xlsx]category sales chart!PivotTable1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FF0000"/>
                </a:solidFill>
              </a:rPr>
              <a:t>category</a:t>
            </a:r>
            <a:r>
              <a:rPr lang="en-US" b="1" i="1" u="sng" baseline="0">
                <a:solidFill>
                  <a:srgbClr val="FF0000"/>
                </a:solidFill>
              </a:rPr>
              <a:t> sales chart</a:t>
            </a:r>
          </a:p>
          <a:p>
            <a:pPr>
              <a:defRPr u="sng">
                <a:solidFill>
                  <a:srgbClr val="FF0000"/>
                </a:solidFill>
              </a:defRPr>
            </a:pPr>
            <a:endParaRPr lang="en-US" u="sng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4228263342082239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sales chart'!$B$3</c:f>
              <c:strCache>
                <c:ptCount val="1"/>
                <c:pt idx="0">
                  <c:v>Total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A-4CE9-9F38-31A40C01B0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A-4CE9-9F38-31A40C01B0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A-4CE9-9F38-31A40C01B0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A-4CE9-9F38-31A40C01B0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A-4CE9-9F38-31A40C01B0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4A-4CE9-9F38-31A40C01B0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4A-4CE9-9F38-31A40C01B0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4A-4CE9-9F38-31A40C01B0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4A-4CE9-9F38-31A40C01B0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E4A-4CE9-9F38-31A40C01B0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E4A-4CE9-9F38-31A40C01B0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E4A-4CE9-9F38-31A40C01B0C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E4A-4CE9-9F38-31A40C01B0C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E4A-4CE9-9F38-31A40C01B0C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E4A-4CE9-9F38-31A40C01B0C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E4A-4CE9-9F38-31A40C01B0C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E4A-4CE9-9F38-31A40C01B0C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E4A-4CE9-9F38-31A40C01B0C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E4A-4CE9-9F38-31A40C01B0C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E4A-4CE9-9F38-31A40C01B0C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E4A-4CE9-9F38-31A40C01B0C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E4A-4CE9-9F38-31A40C01B0C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E4A-4CE9-9F38-31A40C01B0C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E4A-4CE9-9F38-31A40C01B0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sales chart'!$A$4:$A$28</c:f>
              <c:strCache>
                <c:ptCount val="24"/>
                <c:pt idx="0">
                  <c:v>Animal Feed</c:v>
                </c:pt>
                <c:pt idx="1">
                  <c:v>Arts &amp; Crafts</c:v>
                </c:pt>
                <c:pt idx="2">
                  <c:v>Baby Products</c:v>
                </c:pt>
                <c:pt idx="3">
                  <c:v>Beauty &amp; Personal Care</c:v>
                </c:pt>
                <c:pt idx="4">
                  <c:v>Books</c:v>
                </c:pt>
                <c:pt idx="5">
                  <c:v>Clothing</c:v>
                </c:pt>
                <c:pt idx="6">
                  <c:v>Electronics</c:v>
                </c:pt>
                <c:pt idx="7">
                  <c:v>Food &amp; Beverages</c:v>
                </c:pt>
                <c:pt idx="8">
                  <c:v>Furniture</c:v>
                </c:pt>
                <c:pt idx="9">
                  <c:v>Gardening &amp; Outdoors</c:v>
                </c:pt>
                <c:pt idx="10">
                  <c:v>Groceries</c:v>
                </c:pt>
                <c:pt idx="11">
                  <c:v>Health Care</c:v>
                </c:pt>
                <c:pt idx="12">
                  <c:v>Health Supplements</c:v>
                </c:pt>
                <c:pt idx="13">
                  <c:v>Home Appliances</c:v>
                </c:pt>
                <c:pt idx="14">
                  <c:v>Hotels</c:v>
                </c:pt>
                <c:pt idx="15">
                  <c:v>Jewelry &amp; Accessories</c:v>
                </c:pt>
                <c:pt idx="16">
                  <c:v>Luxury Goods</c:v>
                </c:pt>
                <c:pt idx="17">
                  <c:v>Mobile Accessories</c:v>
                </c:pt>
                <c:pt idx="18">
                  <c:v>Office Supplies</c:v>
                </c:pt>
                <c:pt idx="19">
                  <c:v>Packages)</c:v>
                </c:pt>
                <c:pt idx="20">
                  <c:v>Software &amp; Apps</c:v>
                </c:pt>
                <c:pt idx="21">
                  <c:v>Sports &amp; Outdoors</c:v>
                </c:pt>
                <c:pt idx="22">
                  <c:v>Toys &amp; Games</c:v>
                </c:pt>
                <c:pt idx="23">
                  <c:v>Travel &amp; Leisure (Flights</c:v>
                </c:pt>
              </c:strCache>
            </c:strRef>
          </c:cat>
          <c:val>
            <c:numRef>
              <c:f>'category sales chart'!$B$4:$B$28</c:f>
              <c:numCache>
                <c:formatCode>General</c:formatCode>
                <c:ptCount val="24"/>
                <c:pt idx="0">
                  <c:v>1872.26</c:v>
                </c:pt>
                <c:pt idx="1">
                  <c:v>1193.4000000000001</c:v>
                </c:pt>
                <c:pt idx="2">
                  <c:v>418.75</c:v>
                </c:pt>
                <c:pt idx="3">
                  <c:v>693.34999999999991</c:v>
                </c:pt>
                <c:pt idx="4">
                  <c:v>1724.1499999999999</c:v>
                </c:pt>
                <c:pt idx="5">
                  <c:v>712.96</c:v>
                </c:pt>
                <c:pt idx="6">
                  <c:v>1094.51</c:v>
                </c:pt>
                <c:pt idx="7">
                  <c:v>2223.0500000000002</c:v>
                </c:pt>
                <c:pt idx="8">
                  <c:v>2527.1000000000004</c:v>
                </c:pt>
                <c:pt idx="9">
                  <c:v>688.5</c:v>
                </c:pt>
                <c:pt idx="10">
                  <c:v>830.94999999999993</c:v>
                </c:pt>
                <c:pt idx="11">
                  <c:v>1751.8000000000002</c:v>
                </c:pt>
                <c:pt idx="12">
                  <c:v>794.9</c:v>
                </c:pt>
                <c:pt idx="13">
                  <c:v>702.75</c:v>
                </c:pt>
                <c:pt idx="14">
                  <c:v>980.63000000000011</c:v>
                </c:pt>
                <c:pt idx="15">
                  <c:v>532.91</c:v>
                </c:pt>
                <c:pt idx="16">
                  <c:v>728.64</c:v>
                </c:pt>
                <c:pt idx="17">
                  <c:v>2226.65</c:v>
                </c:pt>
                <c:pt idx="18">
                  <c:v>1970.3900000000003</c:v>
                </c:pt>
                <c:pt idx="19">
                  <c:v>590.91999999999996</c:v>
                </c:pt>
                <c:pt idx="20">
                  <c:v>2024.6399999999999</c:v>
                </c:pt>
                <c:pt idx="21">
                  <c:v>1719.19</c:v>
                </c:pt>
                <c:pt idx="22">
                  <c:v>1538.86</c:v>
                </c:pt>
                <c:pt idx="23">
                  <c:v>1044.54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4-47B4-B4BB-576254AE9F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45253718285216"/>
          <c:y val="0.22958151064450277"/>
          <c:w val="0.28288079615048117"/>
          <c:h val="0.762871463983668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139700</xdr:rowOff>
    </xdr:from>
    <xdr:to>
      <xdr:col>11</xdr:col>
      <xdr:colOff>38100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A1DD2-F94B-F595-10A5-EE24F5489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301625</xdr:colOff>
      <xdr:row>2</xdr:row>
      <xdr:rowOff>82550</xdr:rowOff>
    </xdr:from>
    <xdr:to>
      <xdr:col>9</xdr:col>
      <xdr:colOff>568325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EA5C0-6889-522E-A709-BFF004ACC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69850</xdr:rowOff>
    </xdr:from>
    <xdr:to>
      <xdr:col>10</xdr:col>
      <xdr:colOff>285750</xdr:colOff>
      <xdr:row>20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4438B-BA2D-000A-5163-38001F6C3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18.517358680554" createdVersion="8" refreshedVersion="8" minRefreshableVersion="3" recordCount="108" xr:uid="{B310EBAD-E062-415F-9473-FCF4D83F63FC}">
  <cacheSource type="worksheet">
    <worksheetSource name="Practice3"/>
  </cacheSource>
  <cacheFields count="32">
    <cacheField name="Customer_ID" numFmtId="0">
      <sharedItems/>
    </cacheField>
    <cacheField name="Age" numFmtId="0">
      <sharedItems containsSemiMixedTypes="0" containsString="0" containsNumber="1" containsInteger="1" minValue="18" maxValue="50"/>
    </cacheField>
    <cacheField name="Gender" numFmtId="0">
      <sharedItems count="7">
        <s v="Female"/>
        <s v="Male"/>
        <s v="Bigender"/>
        <s v="Genderfluid"/>
        <s v="Non-binary"/>
        <s v="Polygender"/>
        <s v="Agender"/>
      </sharedItems>
    </cacheField>
    <cacheField name="Income_Level" numFmtId="0">
      <sharedItems count="2">
        <s v="Middle"/>
        <s v="High"/>
      </sharedItems>
    </cacheField>
    <cacheField name="Marital_Status" numFmtId="0">
      <sharedItems/>
    </cacheField>
    <cacheField name="unique" numFmtId="0">
      <sharedItems containsBlank="1"/>
    </cacheField>
    <cacheField name="Education_Level" numFmtId="0">
      <sharedItems/>
    </cacheField>
    <cacheField name="Occupation" numFmtId="0">
      <sharedItems/>
    </cacheField>
    <cacheField name="Location" numFmtId="0">
      <sharedItems/>
    </cacheField>
    <cacheField name="Purchase_Category" numFmtId="0">
      <sharedItems count="24">
        <s v="Gardening &amp; Outdoors"/>
        <s v="Food &amp; Beverages"/>
        <s v="Office Supplies"/>
        <s v="Home Appliances"/>
        <s v="Furniture"/>
        <s v="Books"/>
        <s v="Sports &amp; Outdoors"/>
        <s v="Mobile Accessories"/>
        <s v="Luxury Goods"/>
        <s v="Animal Feed"/>
        <s v="Health Care"/>
        <s v="Hotels"/>
        <s v="Packages)"/>
        <s v="Electronics"/>
        <s v="Software &amp; Apps"/>
        <s v="Baby Products"/>
        <s v="Toys &amp; Games"/>
        <s v="Arts &amp; Crafts"/>
        <s v="Health Supplements"/>
        <s v="Groceries"/>
        <s v="Clothing"/>
        <s v="Beauty &amp; Personal Care"/>
        <s v="Travel &amp; Leisure (Flights"/>
        <s v="Jewelry &amp; Accessories"/>
      </sharedItems>
    </cacheField>
    <cacheField name="Purchase_Amount" numFmtId="0">
      <sharedItems containsSemiMixedTypes="0" containsString="0" containsNumber="1" minValue="51.22" maxValue="494.18"/>
    </cacheField>
    <cacheField name="Frequency_of_Purchase" numFmtId="0">
      <sharedItems containsSemiMixedTypes="0" containsString="0" containsNumber="1" containsInteger="1" minValue="2" maxValue="12"/>
    </cacheField>
    <cacheField name="Column1" numFmtId="0">
      <sharedItems containsSemiMixedTypes="0" containsString="0" containsNumber="1" minValue="0" maxValue="10437.69"/>
    </cacheField>
    <cacheField name="Purchase_Channel" numFmtId="0">
      <sharedItems/>
    </cacheField>
    <cacheField name="Brand_Loyalty" numFmtId="0">
      <sharedItems containsSemiMixedTypes="0" containsString="0" containsNumber="1" containsInteger="1" minValue="1" maxValue="5"/>
    </cacheField>
    <cacheField name="Product_Rating" numFmtId="0">
      <sharedItems containsSemiMixedTypes="0" containsString="0" containsNumber="1" containsInteger="1" minValue="1" maxValue="5"/>
    </cacheField>
    <cacheField name="Time_Spent_on_Product_Research(hours)" numFmtId="0">
      <sharedItems containsSemiMixedTypes="0" containsString="0" containsNumber="1" minValue="0" maxValue="2"/>
    </cacheField>
    <cacheField name="Social_Media_Influence" numFmtId="0">
      <sharedItems/>
    </cacheField>
    <cacheField name="Discount_Sensitivity" numFmtId="0">
      <sharedItems/>
    </cacheField>
    <cacheField name="Return_Rate" numFmtId="0">
      <sharedItems containsSemiMixedTypes="0" containsString="0" containsNumber="1" containsInteger="1" minValue="0" maxValue="2"/>
    </cacheField>
    <cacheField name="Customer_Satisfaction" numFmtId="0">
      <sharedItems containsSemiMixedTypes="0" containsString="0" containsNumber="1" containsInteger="1" minValue="1" maxValue="10"/>
    </cacheField>
    <cacheField name="Engagement_with_Ads" numFmtId="0">
      <sharedItems/>
    </cacheField>
    <cacheField name="Device_Used_for_Shopping" numFmtId="0">
      <sharedItems/>
    </cacheField>
    <cacheField name="Payment_Method" numFmtId="0">
      <sharedItems/>
    </cacheField>
    <cacheField name="Time_of_Purchase" numFmtId="164">
      <sharedItems containsNonDate="0" containsDate="1" containsMixedTypes="1" minDate="2024-01-02T00:00:00" maxDate="2024-12-08T00:00:00" count="187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1-03T00:00:00" u="1"/>
        <s v="4/16/2024" u="1"/>
        <s v="3/15/2024" u="1"/>
        <s v="1/30/2024" u="1"/>
        <s v="3/19/2024" u="1"/>
        <s v="3/17/2024" u="1"/>
        <d v="2024-10-06T00:00:00" u="1"/>
        <d v="2024-07-10T00:00:00" u="1"/>
        <d v="2024-02-07T00:00:00" u="1"/>
        <s v="12/27/2024" u="1"/>
        <s v="7/16/2024" u="1"/>
        <s v="12/14/2024" u="1"/>
        <d v="2024-11-08T00:00:00" u="1"/>
        <s v="10/18/2024" u="1"/>
        <d v="2024-09-12T00:00:00" u="1"/>
        <s v="7/23/2024" u="1"/>
        <d v="2024-08-07T00:00:00" u="1"/>
        <s v="7/31/2024" u="1"/>
        <s v="2/25/2024" u="1"/>
        <d v="2024-10-07T00:00:00" u="1"/>
        <s v="12/25/2024" u="1"/>
        <s v="5/31/2024" u="1"/>
        <s v="7/24/2024" u="1"/>
        <s v="11/16/2024" u="1"/>
        <d v="2024-10-02T00:00:00" u="1"/>
        <s v="6/29/2024" u="1"/>
        <s v="1/26/2024" u="1"/>
        <s v="6/15/2024" u="1"/>
        <d v="2024-08-06T00:00:00" u="1"/>
        <s v="5/21/2024" u="1"/>
        <d v="2024-01-09T00:00:00" u="1"/>
        <s v="9/13/2024" u="1"/>
        <s v="10/21/2024" u="1"/>
        <s v="11/17/2024" u="1"/>
        <s v="11/13/2024" u="1"/>
        <s v="12/24/2024" u="1"/>
        <s v="8/25/2024" u="1"/>
        <s v="8/17/2024" u="1"/>
        <d v="2024-01-04T00:00:00" u="1"/>
        <s v="8/24/2024" u="1"/>
        <d v="2024-01-02T00:00:00" u="1"/>
        <s v="6/17/2024" u="1"/>
        <d v="2024-12-06T00:00:00" u="1"/>
        <s v="12/16/2024" u="1"/>
        <s v="10/31/2024" u="1"/>
        <d v="2024-07-12T00:00:00" u="1"/>
        <s v="2/24/2024" u="1"/>
        <d v="2024-11-06T00:00:00" u="1"/>
        <s v="11/24/2024" u="1"/>
        <d v="2024-09-07T00:00:00" u="1"/>
        <s v="8/18/2024" u="1"/>
        <d v="2024-12-07T00:00:00" u="1"/>
        <s v="9/20/2024" u="1"/>
        <d v="2024-02-04T00:00:00" u="1"/>
        <s v="6/21/2024" u="1"/>
        <d v="2024-11-03T00:00:00" u="1"/>
        <s v="2/26/2024" u="1"/>
        <s v="6/14/2024" u="1"/>
        <s v="3/24/2024" u="1"/>
        <s v="4/27/2024" u="1"/>
        <d v="2024-07-11T00:00:00" u="1"/>
        <s v="4/18/2024" u="1"/>
        <s v="4/21/2024" u="1"/>
        <s v="9/25/2024" u="1"/>
        <s v="9/14/2024" u="1"/>
        <s v="3/29/2024" u="1"/>
        <d v="2024-08-04T00:00:00" u="1"/>
        <d v="2024-10-10T00:00:00" u="1"/>
        <s v="3/28/2024" u="1"/>
        <s v="5/13/2024" u="1"/>
        <s v="11/23/2024" u="1"/>
        <s v="9/18/2024" u="1"/>
        <s v="6/28/2024" u="1"/>
        <s v="3/18/2024" u="1"/>
        <s v="10/15/2024" u="1"/>
        <s v="11/29/2024" u="1"/>
        <s v="6/13/2024" u="1"/>
        <s v="7/13/2024" u="1"/>
        <s v="8/26/2024" u="1"/>
      </sharedItems>
    </cacheField>
    <cacheField name="Discount_Used" numFmtId="0">
      <sharedItems/>
    </cacheField>
    <cacheField name="Customer_Loyalty_Program_Member" numFmtId="0">
      <sharedItems/>
    </cacheField>
    <cacheField name="Purchase_Intent" numFmtId="0">
      <sharedItems/>
    </cacheField>
    <cacheField name="Shipping_Preference" numFmtId="0">
      <sharedItems/>
    </cacheField>
    <cacheField name="Time_to_Decision" numFmtId="0">
      <sharedItems containsSemiMixedTypes="0" containsString="0" containsNumber="1" containsInteger="1" minValue="1" maxValue="14"/>
    </cacheField>
    <cacheField name="customer tenure" numFmtId="0">
      <sharedItems/>
    </cacheField>
    <cacheField name="Age group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5918.520154398146" backgroundQuery="1" createdVersion="8" refreshedVersion="8" minRefreshableVersion="3" recordCount="0" supportSubquery="1" supportAdvancedDrill="1" xr:uid="{F275D95C-00E8-49D2-B413-1FA09531BD85}">
  <cacheSource type="external" connectionId="1"/>
  <cacheFields count="2">
    <cacheField name="[Table3].[Time_of_Purchase].[Time_of_Purchase]" caption="Time_of_Purchase" numFmtId="0" hierarchy="24" level="1">
      <sharedItems count="92">
        <s v="1/2/2024"/>
        <s v="1/26/2024"/>
        <s v="1/3/2024"/>
        <s v="1/30/2024"/>
        <s v="1/4/2024"/>
        <s v="1/9/2024"/>
        <s v="10/10/2024"/>
        <s v="10/15/2024"/>
        <s v="10/18/2024"/>
        <s v="10/2/2024"/>
        <s v="10/21/2024"/>
        <s v="10/31/2024"/>
        <s v="10/6/2024"/>
        <s v="10/7/2024"/>
        <s v="11/13/2024"/>
        <s v="11/16/2024"/>
        <s v="11/17/2024"/>
        <s v="11/23/2024"/>
        <s v="11/24/2024"/>
        <s v="11/29/2024"/>
        <s v="11/3/2024"/>
        <s v="11/6/2024"/>
        <s v="11/8/2024"/>
        <s v="12/14/2024"/>
        <s v="12/16/2024"/>
        <s v="12/24/2024"/>
        <s v="12/25/2024"/>
        <s v="12/27/2024"/>
        <s v="12/6/2024"/>
        <s v="12/7/2024"/>
        <s v="2/24/2024"/>
        <s v="2/25/2024"/>
        <s v="2/26/2024"/>
        <s v="2/4/2024"/>
        <s v="2/7/2024"/>
        <s v="3/15/2024"/>
        <s v="3/17/2024"/>
        <s v="3/18/2024"/>
        <s v="3/19/2024"/>
        <s v="3/24/2024"/>
        <s v="3/28/2024"/>
        <s v="3/29/2024"/>
        <s v="3/3/2024"/>
        <s v="3/8/2024"/>
        <s v="4/10/2024"/>
        <s v="4/12/2024"/>
        <s v="4/16/2024"/>
        <s v="4/18/2024"/>
        <s v="4/21/2024"/>
        <s v="4/27/2024"/>
        <s v="4/3/2024"/>
        <s v="4/8/2024"/>
        <s v="4/9/2024"/>
        <s v="5/10/2024"/>
        <s v="5/13/2024"/>
        <s v="5/21/2024"/>
        <s v="5/31/2024"/>
        <s v="5/8/2024"/>
        <s v="6/12/2024"/>
        <s v="6/13/2024"/>
        <s v="6/14/2024"/>
        <s v="6/15/2024"/>
        <s v="6/17/2024"/>
        <s v="6/21/2024"/>
        <s v="6/28/2024"/>
        <s v="6/29/2024"/>
        <s v="6/6/2024"/>
        <s v="6/7/2024"/>
        <s v="6/8/2024"/>
        <s v="7/10/2024"/>
        <s v="7/11/2024"/>
        <s v="7/12/2024"/>
        <s v="7/13/2024"/>
        <s v="7/16/2024"/>
        <s v="7/23/2024"/>
        <s v="7/24/2024"/>
        <s v="7/31/2024"/>
        <s v="8/17/2024"/>
        <s v="8/18/2024"/>
        <s v="8/24/2024"/>
        <s v="8/25/2024"/>
        <s v="8/26/2024"/>
        <s v="8/4/2024"/>
        <s v="8/6/2024"/>
        <s v="8/7/2024"/>
        <s v="9/12/2024"/>
        <s v="9/13/2024"/>
        <s v="9/14/2024"/>
        <s v="9/18/2024"/>
        <s v="9/20/2024"/>
        <s v="9/25/2024"/>
        <s v="9/7/2024"/>
      </sharedItems>
    </cacheField>
    <cacheField name="[Measures].[Average of Purchase_Amount]" caption="Average of Purchase_Amount" numFmtId="0" hierarchy="36" level="32767"/>
  </cacheFields>
  <cacheHierarchies count="37"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Age]" caption="Age" attribute="1" defaultMemberUniqueName="[Table3].[Age].[All]" allUniqueName="[Table3].[Age].[All]" dimensionUniqueName="[Table3]" displayFolder="" count="0" memberValueDatatype="20" unbalanced="0"/>
    <cacheHierarchy uniqueName="[Table3].[Gender]" caption="Gender" attribute="1" defaultMemberUniqueName="[Table3].[Gender].[All]" allUniqueName="[Table3].[Gender].[All]" dimensionUniqueName="[Table3]" displayFolder="" count="0" memberValueDatatype="130" unbalanced="0"/>
    <cacheHierarchy uniqueName="[Table3].[Income_Level]" caption="Income_Level" attribute="1" defaultMemberUniqueName="[Table3].[Income_Level].[All]" allUniqueName="[Table3].[Income_Level].[All]" dimensionUniqueName="[Table3]" displayFolder="" count="0" memberValueDatatype="130" unbalanced="0"/>
    <cacheHierarchy uniqueName="[Table3].[Marital_Status]" caption="Marital_Status" attribute="1" defaultMemberUniqueName="[Table3].[Marital_Status].[All]" allUniqueName="[Table3].[Marital_Status].[All]" dimensionUniqueName="[Table3]" displayFolder="" count="0" memberValueDatatype="130" unbalanced="0"/>
    <cacheHierarchy uniqueName="[Table3].[unique]" caption="unique" attribute="1" defaultMemberUniqueName="[Table3].[unique].[All]" allUniqueName="[Table3].[unique].[All]" dimensionUniqueName="[Table3]" displayFolder="" count="0" memberValueDatatype="130" unbalanced="0"/>
    <cacheHierarchy uniqueName="[Table3].[Education_Level]" caption="Education_Level" attribute="1" defaultMemberUniqueName="[Table3].[Education_Level].[All]" allUniqueName="[Table3].[Education_Level].[All]" dimensionUniqueName="[Table3]" displayFolder="" count="0" memberValueDatatype="130" unbalanced="0"/>
    <cacheHierarchy uniqueName="[Table3].[Occupation]" caption="Occupation" attribute="1" defaultMemberUniqueName="[Table3].[Occupation].[All]" allUniqueName="[Table3].[Occupation].[All]" dimensionUniqueName="[Table3]" displayFolder="" count="0" memberValueDatatype="130" unbalanced="0"/>
    <cacheHierarchy uniqueName="[Table3].[Location]" caption="Location" attribute="1" defaultMemberUniqueName="[Table3].[Location].[All]" allUniqueName="[Table3].[Location].[All]" dimensionUniqueName="[Table3]" displayFolder="" count="0" memberValueDatatype="130" unbalanced="0"/>
    <cacheHierarchy uniqueName="[Table3].[Purchase_Category]" caption="Purchase_Category" attribute="1" defaultMemberUniqueName="[Table3].[Purchase_Category].[All]" allUniqueName="[Table3].[Purchase_Category].[All]" dimensionUniqueName="[Table3]" displayFolder="" count="0" memberValueDatatype="130" unbalanced="0"/>
    <cacheHierarchy uniqueName="[Table3].[Purchase_Amount]" caption="Purchase_Amount" attribute="1" defaultMemberUniqueName="[Table3].[Purchase_Amount].[All]" allUniqueName="[Table3].[Purchase_Amount].[All]" dimensionUniqueName="[Table3]" displayFolder="" count="0" memberValueDatatype="5" unbalanced="0"/>
    <cacheHierarchy uniqueName="[Table3].[Frequency_of_Purchase]" caption="Frequency_of_Purchase" attribute="1" defaultMemberUniqueName="[Table3].[Frequency_of_Purchase].[All]" allUniqueName="[Table3].[Frequency_of_Purchase].[All]" dimensionUniqueName="[Table3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5" unbalanced="0"/>
    <cacheHierarchy uniqueName="[Table3].[Purchase_Channel]" caption="Purchase_Channel" attribute="1" defaultMemberUniqueName="[Table3].[Purchase_Channel].[All]" allUniqueName="[Table3].[Purchase_Channel].[All]" dimensionUniqueName="[Table3]" displayFolder="" count="0" memberValueDatatype="130" unbalanced="0"/>
    <cacheHierarchy uniqueName="[Table3].[Brand_Loyalty]" caption="Brand_Loyalty" attribute="1" defaultMemberUniqueName="[Table3].[Brand_Loyalty].[All]" allUniqueName="[Table3].[Brand_Loyalty].[All]" dimensionUniqueName="[Table3]" displayFolder="" count="0" memberValueDatatype="20" unbalanced="0"/>
    <cacheHierarchy uniqueName="[Table3].[Product_Rating]" caption="Product_Rating" attribute="1" defaultMemberUniqueName="[Table3].[Product_Rating].[All]" allUniqueName="[Table3].[Product_Rating].[All]" dimensionUniqueName="[Table3]" displayFolder="" count="0" memberValueDatatype="20" unbalanced="0"/>
    <cacheHierarchy uniqueName="[Table3].[Time_Spent_on_Product_Research(hours)]" caption="Time_Spent_on_Product_Research(hours)" attribute="1" defaultMemberUniqueName="[Table3].[Time_Spent_on_Product_Research(hours)].[All]" allUniqueName="[Table3].[Time_Spent_on_Product_Research(hours)].[All]" dimensionUniqueName="[Table3]" displayFolder="" count="0" memberValueDatatype="5" unbalanced="0"/>
    <cacheHierarchy uniqueName="[Table3].[Social_Media_Influence]" caption="Social_Media_Influence" attribute="1" defaultMemberUniqueName="[Table3].[Social_Media_Influence].[All]" allUniqueName="[Table3].[Social_Media_Influence].[All]" dimensionUniqueName="[Table3]" displayFolder="" count="0" memberValueDatatype="130" unbalanced="0"/>
    <cacheHierarchy uniqueName="[Table3].[Discount_Sensitivity]" caption="Discount_Sensitivity" attribute="1" defaultMemberUniqueName="[Table3].[Discount_Sensitivity].[All]" allUniqueName="[Table3].[Discount_Sensitivity].[All]" dimensionUniqueName="[Table3]" displayFolder="" count="0" memberValueDatatype="130" unbalanced="0"/>
    <cacheHierarchy uniqueName="[Table3].[Return_Rate]" caption="Return_Rate" attribute="1" defaultMemberUniqueName="[Table3].[Return_Rate].[All]" allUniqueName="[Table3].[Return_Rate].[All]" dimensionUniqueName="[Table3]" displayFolder="" count="0" memberValueDatatype="20" unbalanced="0"/>
    <cacheHierarchy uniqueName="[Table3].[Customer_Satisfaction]" caption="Customer_Satisfaction" attribute="1" defaultMemberUniqueName="[Table3].[Customer_Satisfaction].[All]" allUniqueName="[Table3].[Customer_Satisfaction].[All]" dimensionUniqueName="[Table3]" displayFolder="" count="0" memberValueDatatype="20" unbalanced="0"/>
    <cacheHierarchy uniqueName="[Table3].[Engagement_with_Ads]" caption="Engagement_with_Ads" attribute="1" defaultMemberUniqueName="[Table3].[Engagement_with_Ads].[All]" allUniqueName="[Table3].[Engagement_with_Ads].[All]" dimensionUniqueName="[Table3]" displayFolder="" count="0" memberValueDatatype="130" unbalanced="0"/>
    <cacheHierarchy uniqueName="[Table3].[Device_Used_for_Shopping]" caption="Device_Used_for_Shopping" attribute="1" defaultMemberUniqueName="[Table3].[Device_Used_for_Shopping].[All]" allUniqueName="[Table3].[Device_Used_for_Shopping].[All]" dimensionUniqueName="[Table3]" displayFolder="" count="0" memberValueDatatype="130" unbalanced="0"/>
    <cacheHierarchy uniqueName="[Table3].[Payment_Method]" caption="Payment_Method" attribute="1" defaultMemberUniqueName="[Table3].[Payment_Method].[All]" allUniqueName="[Table3].[Payment_Method].[All]" dimensionUniqueName="[Table3]" displayFolder="" count="0" memberValueDatatype="130" unbalanced="0"/>
    <cacheHierarchy uniqueName="[Table3].[Time_of_Purchase]" caption="Time_of_Purchase" attribute="1" defaultMemberUniqueName="[Table3].[Time_of_Purchase].[All]" allUniqueName="[Table3].[Time_of_Purchas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Discount_Used]" caption="Discount_Used" attribute="1" defaultMemberUniqueName="[Table3].[Discount_Used].[All]" allUniqueName="[Table3].[Discount_Used].[All]" dimensionUniqueName="[Table3]" displayFolder="" count="0" memberValueDatatype="11" unbalanced="0"/>
    <cacheHierarchy uniqueName="[Table3].[Customer_Loyalty_Program_Member]" caption="Customer_Loyalty_Program_Member" attribute="1" defaultMemberUniqueName="[Table3].[Customer_Loyalty_Program_Member].[All]" allUniqueName="[Table3].[Customer_Loyalty_Program_Member].[All]" dimensionUniqueName="[Table3]" displayFolder="" count="0" memberValueDatatype="11" unbalanced="0"/>
    <cacheHierarchy uniqueName="[Table3].[Purchase_Intent]" caption="Purchase_Intent" attribute="1" defaultMemberUniqueName="[Table3].[Purchase_Intent].[All]" allUniqueName="[Table3].[Purchase_Intent].[All]" dimensionUniqueName="[Table3]" displayFolder="" count="0" memberValueDatatype="130" unbalanced="0"/>
    <cacheHierarchy uniqueName="[Table3].[Shipping_Preference]" caption="Shipping_Preference" attribute="1" defaultMemberUniqueName="[Table3].[Shipping_Preference].[All]" allUniqueName="[Table3].[Shipping_Preference].[All]" dimensionUniqueName="[Table3]" displayFolder="" count="0" memberValueDatatype="130" unbalanced="0"/>
    <cacheHierarchy uniqueName="[Table3].[Time_to_Decision]" caption="Time_to_Decision" attribute="1" defaultMemberUniqueName="[Table3].[Time_to_Decision].[All]" allUniqueName="[Table3].[Time_to_Decision].[All]" dimensionUniqueName="[Table3]" displayFolder="" count="0" memberValueDatatype="20" unbalanced="0"/>
    <cacheHierarchy uniqueName="[Table3].[customer tenure]" caption="customer tenure" attribute="1" defaultMemberUniqueName="[Table3].[customer tenure].[All]" allUniqueName="[Table3].[customer tenure].[All]" dimensionUniqueName="[Table3]" displayFolder="" count="0" memberValueDatatype="130" unbalanced="0"/>
    <cacheHierarchy uniqueName="[Table3].[Age groups]" caption="Age groups" attribute="1" defaultMemberUniqueName="[Table3].[Age groups].[All]" allUniqueName="[Table3].[Age groups].[All]" dimensionUniqueName="[Table3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Age groups]" caption="Count of Age groups" measure="1" displayFolder="" measureGroup="Table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urchase_Amount]" caption="Sum of Purchase_Amount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urchase_Amount]" caption="Average of Purchase_Amount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5918.048829629632" backgroundQuery="1" createdVersion="8" refreshedVersion="8" minRefreshableVersion="3" recordCount="0" supportSubquery="1" supportAdvancedDrill="1" xr:uid="{825FA4F3-7C59-4911-86ED-638D923807F7}">
  <cacheSource type="external" connectionId="1"/>
  <cacheFields count="2">
    <cacheField name="[Table3].[Age groups].[Age groups]" caption="Age groups" numFmtId="0" hierarchy="31" level="1">
      <sharedItems count="4">
        <s v="&lt;20"/>
        <s v="20-29"/>
        <s v="30-39"/>
        <s v="40-49"/>
      </sharedItems>
    </cacheField>
    <cacheField name="[Measures].[Count of Age groups]" caption="Count of Age groups" numFmtId="0" hierarchy="34" level="32767"/>
  </cacheFields>
  <cacheHierarchies count="37"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Age]" caption="Age" attribute="1" defaultMemberUniqueName="[Table3].[Age].[All]" allUniqueName="[Table3].[Age].[All]" dimensionUniqueName="[Table3]" displayFolder="" count="0" memberValueDatatype="20" unbalanced="0"/>
    <cacheHierarchy uniqueName="[Table3].[Gender]" caption="Gender" attribute="1" defaultMemberUniqueName="[Table3].[Gender].[All]" allUniqueName="[Table3].[Gender].[All]" dimensionUniqueName="[Table3]" displayFolder="" count="0" memberValueDatatype="130" unbalanced="0"/>
    <cacheHierarchy uniqueName="[Table3].[Income_Level]" caption="Income_Level" attribute="1" defaultMemberUniqueName="[Table3].[Income_Level].[All]" allUniqueName="[Table3].[Income_Level].[All]" dimensionUniqueName="[Table3]" displayFolder="" count="0" memberValueDatatype="130" unbalanced="0"/>
    <cacheHierarchy uniqueName="[Table3].[Marital_Status]" caption="Marital_Status" attribute="1" defaultMemberUniqueName="[Table3].[Marital_Status].[All]" allUniqueName="[Table3].[Marital_Status].[All]" dimensionUniqueName="[Table3]" displayFolder="" count="0" memberValueDatatype="130" unbalanced="0"/>
    <cacheHierarchy uniqueName="[Table3].[unique]" caption="unique" attribute="1" defaultMemberUniqueName="[Table3].[unique].[All]" allUniqueName="[Table3].[unique].[All]" dimensionUniqueName="[Table3]" displayFolder="" count="0" memberValueDatatype="130" unbalanced="0"/>
    <cacheHierarchy uniqueName="[Table3].[Education_Level]" caption="Education_Level" attribute="1" defaultMemberUniqueName="[Table3].[Education_Level].[All]" allUniqueName="[Table3].[Education_Level].[All]" dimensionUniqueName="[Table3]" displayFolder="" count="0" memberValueDatatype="130" unbalanced="0"/>
    <cacheHierarchy uniqueName="[Table3].[Occupation]" caption="Occupation" attribute="1" defaultMemberUniqueName="[Table3].[Occupation].[All]" allUniqueName="[Table3].[Occupation].[All]" dimensionUniqueName="[Table3]" displayFolder="" count="0" memberValueDatatype="130" unbalanced="0"/>
    <cacheHierarchy uniqueName="[Table3].[Location]" caption="Location" attribute="1" defaultMemberUniqueName="[Table3].[Location].[All]" allUniqueName="[Table3].[Location].[All]" dimensionUniqueName="[Table3]" displayFolder="" count="0" memberValueDatatype="130" unbalanced="0"/>
    <cacheHierarchy uniqueName="[Table3].[Purchase_Category]" caption="Purchase_Category" attribute="1" defaultMemberUniqueName="[Table3].[Purchase_Category].[All]" allUniqueName="[Table3].[Purchase_Category].[All]" dimensionUniqueName="[Table3]" displayFolder="" count="0" memberValueDatatype="130" unbalanced="0"/>
    <cacheHierarchy uniqueName="[Table3].[Purchase_Amount]" caption="Purchase_Amount" attribute="1" defaultMemberUniqueName="[Table3].[Purchase_Amount].[All]" allUniqueName="[Table3].[Purchase_Amount].[All]" dimensionUniqueName="[Table3]" displayFolder="" count="0" memberValueDatatype="5" unbalanced="0"/>
    <cacheHierarchy uniqueName="[Table3].[Frequency_of_Purchase]" caption="Frequency_of_Purchase" attribute="1" defaultMemberUniqueName="[Table3].[Frequency_of_Purchase].[All]" allUniqueName="[Table3].[Frequency_of_Purchase].[All]" dimensionUniqueName="[Table3]" displayFolder="" count="0" memberValueDatatype="20" unbalanced="0"/>
    <cacheHierarchy uniqueName="[Table3].[Column1]" caption="Column1" attribute="1" defaultMemberUniqueName="[Table3].[Column1].[All]" allUniqueName="[Table3].[Column1].[All]" dimensionUniqueName="[Table3]" displayFolder="" count="0" memberValueDatatype="5" unbalanced="0"/>
    <cacheHierarchy uniqueName="[Table3].[Purchase_Channel]" caption="Purchase_Channel" attribute="1" defaultMemberUniqueName="[Table3].[Purchase_Channel].[All]" allUniqueName="[Table3].[Purchase_Channel].[All]" dimensionUniqueName="[Table3]" displayFolder="" count="0" memberValueDatatype="130" unbalanced="0"/>
    <cacheHierarchy uniqueName="[Table3].[Brand_Loyalty]" caption="Brand_Loyalty" attribute="1" defaultMemberUniqueName="[Table3].[Brand_Loyalty].[All]" allUniqueName="[Table3].[Brand_Loyalty].[All]" dimensionUniqueName="[Table3]" displayFolder="" count="0" memberValueDatatype="20" unbalanced="0"/>
    <cacheHierarchy uniqueName="[Table3].[Product_Rating]" caption="Product_Rating" attribute="1" defaultMemberUniqueName="[Table3].[Product_Rating].[All]" allUniqueName="[Table3].[Product_Rating].[All]" dimensionUniqueName="[Table3]" displayFolder="" count="0" memberValueDatatype="20" unbalanced="0"/>
    <cacheHierarchy uniqueName="[Table3].[Time_Spent_on_Product_Research(hours)]" caption="Time_Spent_on_Product_Research(hours)" attribute="1" defaultMemberUniqueName="[Table3].[Time_Spent_on_Product_Research(hours)].[All]" allUniqueName="[Table3].[Time_Spent_on_Product_Research(hours)].[All]" dimensionUniqueName="[Table3]" displayFolder="" count="0" memberValueDatatype="5" unbalanced="0"/>
    <cacheHierarchy uniqueName="[Table3].[Social_Media_Influence]" caption="Social_Media_Influence" attribute="1" defaultMemberUniqueName="[Table3].[Social_Media_Influence].[All]" allUniqueName="[Table3].[Social_Media_Influence].[All]" dimensionUniqueName="[Table3]" displayFolder="" count="0" memberValueDatatype="130" unbalanced="0"/>
    <cacheHierarchy uniqueName="[Table3].[Discount_Sensitivity]" caption="Discount_Sensitivity" attribute="1" defaultMemberUniqueName="[Table3].[Discount_Sensitivity].[All]" allUniqueName="[Table3].[Discount_Sensitivity].[All]" dimensionUniqueName="[Table3]" displayFolder="" count="0" memberValueDatatype="130" unbalanced="0"/>
    <cacheHierarchy uniqueName="[Table3].[Return_Rate]" caption="Return_Rate" attribute="1" defaultMemberUniqueName="[Table3].[Return_Rate].[All]" allUniqueName="[Table3].[Return_Rate].[All]" dimensionUniqueName="[Table3]" displayFolder="" count="0" memberValueDatatype="20" unbalanced="0"/>
    <cacheHierarchy uniqueName="[Table3].[Customer_Satisfaction]" caption="Customer_Satisfaction" attribute="1" defaultMemberUniqueName="[Table3].[Customer_Satisfaction].[All]" allUniqueName="[Table3].[Customer_Satisfaction].[All]" dimensionUniqueName="[Table3]" displayFolder="" count="0" memberValueDatatype="20" unbalanced="0"/>
    <cacheHierarchy uniqueName="[Table3].[Engagement_with_Ads]" caption="Engagement_with_Ads" attribute="1" defaultMemberUniqueName="[Table3].[Engagement_with_Ads].[All]" allUniqueName="[Table3].[Engagement_with_Ads].[All]" dimensionUniqueName="[Table3]" displayFolder="" count="0" memberValueDatatype="130" unbalanced="0"/>
    <cacheHierarchy uniqueName="[Table3].[Device_Used_for_Shopping]" caption="Device_Used_for_Shopping" attribute="1" defaultMemberUniqueName="[Table3].[Device_Used_for_Shopping].[All]" allUniqueName="[Table3].[Device_Used_for_Shopping].[All]" dimensionUniqueName="[Table3]" displayFolder="" count="0" memberValueDatatype="130" unbalanced="0"/>
    <cacheHierarchy uniqueName="[Table3].[Payment_Method]" caption="Payment_Method" attribute="1" defaultMemberUniqueName="[Table3].[Payment_Method].[All]" allUniqueName="[Table3].[Payment_Method].[All]" dimensionUniqueName="[Table3]" displayFolder="" count="0" memberValueDatatype="130" unbalanced="0"/>
    <cacheHierarchy uniqueName="[Table3].[Time_of_Purchase]" caption="Time_of_Purchase" attribute="1" defaultMemberUniqueName="[Table3].[Time_of_Purchase].[All]" allUniqueName="[Table3].[Time_of_Purchase].[All]" dimensionUniqueName="[Table3]" displayFolder="" count="0" memberValueDatatype="130" unbalanced="0"/>
    <cacheHierarchy uniqueName="[Table3].[Discount_Used]" caption="Discount_Used" attribute="1" defaultMemberUniqueName="[Table3].[Discount_Used].[All]" allUniqueName="[Table3].[Discount_Used].[All]" dimensionUniqueName="[Table3]" displayFolder="" count="0" memberValueDatatype="11" unbalanced="0"/>
    <cacheHierarchy uniqueName="[Table3].[Customer_Loyalty_Program_Member]" caption="Customer_Loyalty_Program_Member" attribute="1" defaultMemberUniqueName="[Table3].[Customer_Loyalty_Program_Member].[All]" allUniqueName="[Table3].[Customer_Loyalty_Program_Member].[All]" dimensionUniqueName="[Table3]" displayFolder="" count="0" memberValueDatatype="11" unbalanced="0"/>
    <cacheHierarchy uniqueName="[Table3].[Purchase_Intent]" caption="Purchase_Intent" attribute="1" defaultMemberUniqueName="[Table3].[Purchase_Intent].[All]" allUniqueName="[Table3].[Purchase_Intent].[All]" dimensionUniqueName="[Table3]" displayFolder="" count="0" memberValueDatatype="130" unbalanced="0"/>
    <cacheHierarchy uniqueName="[Table3].[Shipping_Preference]" caption="Shipping_Preference" attribute="1" defaultMemberUniqueName="[Table3].[Shipping_Preference].[All]" allUniqueName="[Table3].[Shipping_Preference].[All]" dimensionUniqueName="[Table3]" displayFolder="" count="0" memberValueDatatype="130" unbalanced="0"/>
    <cacheHierarchy uniqueName="[Table3].[Time_to_Decision]" caption="Time_to_Decision" attribute="1" defaultMemberUniqueName="[Table3].[Time_to_Decision].[All]" allUniqueName="[Table3].[Time_to_Decision].[All]" dimensionUniqueName="[Table3]" displayFolder="" count="0" memberValueDatatype="20" unbalanced="0"/>
    <cacheHierarchy uniqueName="[Table3].[customer tenure]" caption="customer tenure" attribute="1" defaultMemberUniqueName="[Table3].[customer tenure].[All]" allUniqueName="[Table3].[customer tenure].[All]" dimensionUniqueName="[Table3]" displayFolder="" count="0" memberValueDatatype="130" unbalanced="0"/>
    <cacheHierarchy uniqueName="[Table3].[Age groups]" caption="Age groups" attribute="1" defaultMemberUniqueName="[Table3].[Age groups].[All]" allUniqueName="[Table3].[Age groups].[All]" dimensionUniqueName="[Table3]" displayFolder="" count="2" memberValueDatatype="130" unbalanced="0">
      <fieldsUsage count="2">
        <fieldUsage x="-1"/>
        <fieldUsage x="0"/>
      </fieldsUsage>
    </cacheHierarchy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Count of Age groups]" caption="Count of Age group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urchase_Amount]" caption="Sum of Purchase_Amount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urchase_Amount]" caption="Average of Purchase_Amount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37-611-6911"/>
    <n v="22"/>
    <x v="0"/>
    <x v="0"/>
    <s v="Married"/>
    <m/>
    <s v="Bachelor's"/>
    <s v="Middle"/>
    <s v="Ã‰vry"/>
    <x v="0"/>
    <n v="333.8"/>
    <n v="4"/>
    <n v="7484.2200000000012"/>
    <s v="Mixed"/>
    <n v="5"/>
    <n v="5"/>
    <n v="2"/>
    <s v="None"/>
    <s v="Somewhat Sensitive"/>
    <n v="1"/>
    <n v="7"/>
    <s v="None"/>
    <s v="Tablet"/>
    <s v="Credit Card"/>
    <x v="0"/>
    <b v="1"/>
    <b v="0"/>
    <s v="Need-based"/>
    <s v="No Preference"/>
    <n v="2"/>
    <s v="quick buyer"/>
    <s v="20-29"/>
  </r>
  <r>
    <s v="29-392-9296"/>
    <n v="49"/>
    <x v="1"/>
    <x v="1"/>
    <s v="Married"/>
    <m/>
    <s v="High School"/>
    <s v="High"/>
    <s v="Huocheng"/>
    <x v="1"/>
    <n v="222.22"/>
    <n v="11"/>
    <n v="5146.29"/>
    <s v="In-Store"/>
    <n v="3"/>
    <n v="1"/>
    <n v="2"/>
    <s v="Medium"/>
    <s v="Not Sensitive"/>
    <n v="1"/>
    <n v="5"/>
    <s v="High"/>
    <s v="Tablet"/>
    <s v="PayPal"/>
    <x v="1"/>
    <b v="1"/>
    <b v="0"/>
    <s v="Wants-based"/>
    <s v="Standard"/>
    <n v="6"/>
    <s v="considerable buyer"/>
    <s v="40-49"/>
  </r>
  <r>
    <s v="84-649-5117"/>
    <n v="24"/>
    <x v="0"/>
    <x v="0"/>
    <s v="Single"/>
    <m/>
    <s v="Master's"/>
    <s v="High"/>
    <s v="Huzhen"/>
    <x v="2"/>
    <n v="426.22"/>
    <n v="2"/>
    <n v="5146.29"/>
    <s v="Mixed"/>
    <n v="5"/>
    <n v="5"/>
    <n v="0.3"/>
    <s v="Low"/>
    <s v="Not Sensitive"/>
    <n v="1"/>
    <n v="7"/>
    <s v="Low"/>
    <s v="Smartphone"/>
    <s v="Debit Card"/>
    <x v="2"/>
    <b v="1"/>
    <b v="1"/>
    <s v="Impulsive"/>
    <s v="No Preference"/>
    <n v="3"/>
    <s v="quick buyer"/>
    <s v="20-29"/>
  </r>
  <r>
    <s v="48-980-6078"/>
    <n v="29"/>
    <x v="0"/>
    <x v="0"/>
    <s v="Single"/>
    <m/>
    <s v="Master's"/>
    <s v="Middle"/>
    <s v="WiwilÃ­"/>
    <x v="3"/>
    <n v="101.31"/>
    <n v="6"/>
    <n v="10437.69"/>
    <s v="Mixed"/>
    <n v="3"/>
    <n v="1"/>
    <n v="1"/>
    <s v="High"/>
    <s v="Somewhat Sensitive"/>
    <n v="0"/>
    <n v="1"/>
    <s v="None"/>
    <s v="Smartphone"/>
    <s v="Other"/>
    <x v="3"/>
    <b v="1"/>
    <b v="1"/>
    <s v="Need-based"/>
    <s v="Express"/>
    <n v="10"/>
    <s v="considerable buyer"/>
    <s v="20-29"/>
  </r>
  <r>
    <s v="91-170-9072"/>
    <n v="33"/>
    <x v="0"/>
    <x v="0"/>
    <s v="Widowed"/>
    <m/>
    <s v="High School"/>
    <s v="Middle"/>
    <s v="Nara"/>
    <x v="4"/>
    <n v="211.7"/>
    <n v="6"/>
    <n v="7484.2200000000012"/>
    <s v="Mixed"/>
    <n v="3"/>
    <n v="4"/>
    <n v="0"/>
    <s v="Medium"/>
    <s v="Not Sensitive"/>
    <n v="2"/>
    <n v="10"/>
    <s v="None"/>
    <s v="Smartphone"/>
    <s v="Debit Card"/>
    <x v="4"/>
    <b v="0"/>
    <b v="0"/>
    <s v="Wants-based"/>
    <s v="No Preference"/>
    <n v="4"/>
    <s v="quick buyer"/>
    <s v="30-39"/>
  </r>
  <r>
    <s v="82-561-4233"/>
    <n v="45"/>
    <x v="1"/>
    <x v="0"/>
    <s v="Married"/>
    <m/>
    <s v="Master's"/>
    <s v="High"/>
    <s v="Boro Utara"/>
    <x v="2"/>
    <n v="487.95"/>
    <n v="8"/>
    <n v="7517.6"/>
    <s v="Mixed"/>
    <n v="3"/>
    <n v="3"/>
    <n v="0"/>
    <s v="High"/>
    <s v="Not Sensitive"/>
    <n v="2"/>
    <n v="3"/>
    <s v="None"/>
    <s v="Tablet"/>
    <s v="Debit Card"/>
    <x v="5"/>
    <b v="0"/>
    <b v="0"/>
    <s v="Planned"/>
    <s v="No Preference"/>
    <n v="7"/>
    <s v="considerable buyer"/>
    <s v="40-49"/>
  </r>
  <r>
    <s v="90-144-9193"/>
    <n v="21"/>
    <x v="0"/>
    <x v="0"/>
    <s v="Divorced"/>
    <m/>
    <s v="High School"/>
    <s v="Middle"/>
    <s v="Liren"/>
    <x v="4"/>
    <n v="486.4"/>
    <n v="12"/>
    <n v="5146.29"/>
    <s v="Online"/>
    <n v="2"/>
    <n v="5"/>
    <n v="1"/>
    <s v="High"/>
    <s v="Somewhat Sensitive"/>
    <n v="0"/>
    <n v="9"/>
    <s v="Low"/>
    <s v="Desktop"/>
    <s v="Debit Card"/>
    <x v="6"/>
    <b v="1"/>
    <b v="0"/>
    <s v="Need-based"/>
    <s v="Express"/>
    <n v="13"/>
    <s v="slow buyer"/>
    <s v="20-29"/>
  </r>
  <r>
    <s v="88-661-4689"/>
    <n v="39"/>
    <x v="1"/>
    <x v="0"/>
    <s v="Single"/>
    <m/>
    <s v="High School"/>
    <s v="Middle"/>
    <s v="Taocheng"/>
    <x v="5"/>
    <n v="218.06"/>
    <n v="6"/>
    <n v="7517.6"/>
    <s v="Online"/>
    <n v="5"/>
    <n v="4"/>
    <n v="1"/>
    <s v="Low"/>
    <s v="Somewhat Sensitive"/>
    <n v="2"/>
    <n v="9"/>
    <s v="None"/>
    <s v="Desktop"/>
    <s v="Credit Card"/>
    <x v="7"/>
    <b v="0"/>
    <b v="1"/>
    <s v="Impulsive"/>
    <s v="No Preference"/>
    <n v="13"/>
    <s v="slow buyer"/>
    <s v="30-39"/>
  </r>
  <r>
    <s v="37-065-3182"/>
    <n v="24"/>
    <x v="0"/>
    <x v="1"/>
    <s v="Divorced"/>
    <m/>
    <s v="Master's"/>
    <s v="Middle"/>
    <s v="GrÃ¥bo"/>
    <x v="2"/>
    <n v="201.96"/>
    <n v="8"/>
    <n v="7484.2200000000012"/>
    <s v="In-Store"/>
    <n v="3"/>
    <n v="5"/>
    <n v="0"/>
    <s v="Low"/>
    <s v="Very Sensitive"/>
    <n v="1"/>
    <n v="2"/>
    <s v="High"/>
    <s v="Desktop"/>
    <s v="Cash"/>
    <x v="8"/>
    <b v="0"/>
    <b v="0"/>
    <s v="Need-based"/>
    <s v="Standard"/>
    <n v="7"/>
    <s v="considerable buyer"/>
    <s v="20-29"/>
  </r>
  <r>
    <s v="84-894-9222"/>
    <n v="25"/>
    <x v="2"/>
    <x v="1"/>
    <s v="Married"/>
    <m/>
    <s v="Bachelor's"/>
    <s v="High"/>
    <s v="Pryamitsyno"/>
    <x v="6"/>
    <n v="418.83"/>
    <n v="7"/>
    <n v="7517.6"/>
    <s v="Online"/>
    <n v="2"/>
    <n v="5"/>
    <n v="1"/>
    <s v="None"/>
    <s v="Somewhat Sensitive"/>
    <n v="1"/>
    <n v="5"/>
    <s v="Medium"/>
    <s v="Tablet"/>
    <s v="PayPal"/>
    <x v="9"/>
    <b v="1"/>
    <b v="0"/>
    <s v="Need-based"/>
    <s v="No Preference"/>
    <n v="13"/>
    <s v="slow buyer"/>
    <s v="20-29"/>
  </r>
  <r>
    <s v="44-674-4037"/>
    <n v="33"/>
    <x v="1"/>
    <x v="0"/>
    <s v="Divorced"/>
    <m/>
    <s v="Bachelor's"/>
    <s v="Middle"/>
    <s v="Punta Gorda"/>
    <x v="7"/>
    <n v="389.7"/>
    <n v="12"/>
    <n v="10437.69"/>
    <s v="In-Store"/>
    <n v="1"/>
    <n v="4"/>
    <n v="0.5"/>
    <s v="Low"/>
    <s v="Not Sensitive"/>
    <n v="0"/>
    <n v="4"/>
    <s v="High"/>
    <s v="Desktop"/>
    <s v="PayPal"/>
    <x v="10"/>
    <b v="1"/>
    <b v="0"/>
    <s v="Planned"/>
    <s v="Express"/>
    <n v="12"/>
    <s v="slow buyer"/>
    <s v="30-39"/>
  </r>
  <r>
    <s v="78-116-8349"/>
    <n v="38"/>
    <x v="0"/>
    <x v="1"/>
    <s v="Widowed"/>
    <m/>
    <s v="Bachelor's"/>
    <s v="Middle"/>
    <s v="GyÅ‘r"/>
    <x v="6"/>
    <n v="238.93"/>
    <n v="5"/>
    <n v="5146.29"/>
    <s v="Online"/>
    <n v="4"/>
    <n v="3"/>
    <n v="1"/>
    <s v="Medium"/>
    <s v="Very Sensitive"/>
    <n v="0"/>
    <n v="10"/>
    <s v="High"/>
    <s v="Tablet"/>
    <s v="Cash"/>
    <x v="11"/>
    <b v="1"/>
    <b v="0"/>
    <s v="Planned"/>
    <s v="No Preference"/>
    <n v="1"/>
    <s v="quick buyer"/>
    <s v="30-39"/>
  </r>
  <r>
    <s v="19-933-8095"/>
    <n v="34"/>
    <x v="1"/>
    <x v="0"/>
    <s v="Single"/>
    <m/>
    <s v="Bachelor's"/>
    <s v="High"/>
    <s v="Gaosheng"/>
    <x v="8"/>
    <n v="61.22"/>
    <n v="7"/>
    <n v="7484.2200000000012"/>
    <s v="In-Store"/>
    <n v="5"/>
    <n v="2"/>
    <n v="2"/>
    <s v="Low"/>
    <s v="Very Sensitive"/>
    <n v="1"/>
    <n v="7"/>
    <s v="High"/>
    <s v="Desktop"/>
    <s v="Debit Card"/>
    <x v="12"/>
    <b v="1"/>
    <b v="1"/>
    <s v="Need-based"/>
    <s v="No Preference"/>
    <n v="5"/>
    <s v="considerable buyer"/>
    <s v="30-39"/>
  </r>
  <r>
    <s v="80-684-5072"/>
    <n v="32"/>
    <x v="1"/>
    <x v="1"/>
    <s v="Married"/>
    <m/>
    <s v="High School"/>
    <s v="Middle"/>
    <s v="Rokytne"/>
    <x v="9"/>
    <n v="79.81"/>
    <n v="4"/>
    <n v="10437.69"/>
    <s v="Mixed"/>
    <n v="5"/>
    <n v="5"/>
    <n v="0"/>
    <s v="High"/>
    <s v="Not Sensitive"/>
    <n v="0"/>
    <n v="9"/>
    <s v="High"/>
    <s v="Smartphone"/>
    <s v="Debit Card"/>
    <x v="13"/>
    <b v="0"/>
    <b v="1"/>
    <s v="Wants-based"/>
    <s v="Standard"/>
    <n v="14"/>
    <s v="slow buyer"/>
    <s v="30-39"/>
  </r>
  <r>
    <s v="23-302-7502"/>
    <n v="30"/>
    <x v="0"/>
    <x v="1"/>
    <s v="Widowed"/>
    <m/>
    <s v="High School"/>
    <s v="High"/>
    <s v="Alameda"/>
    <x v="10"/>
    <n v="58.51"/>
    <n v="2"/>
    <n v="7517.6"/>
    <s v="Online"/>
    <n v="4"/>
    <n v="4"/>
    <n v="0.5"/>
    <s v="None"/>
    <s v="Not Sensitive"/>
    <n v="0"/>
    <n v="4"/>
    <s v="Medium"/>
    <s v="Desktop"/>
    <s v="PayPal"/>
    <x v="14"/>
    <b v="1"/>
    <b v="1"/>
    <s v="Planned"/>
    <s v="No Preference"/>
    <n v="14"/>
    <s v="slow buyer"/>
    <s v="20-29"/>
  </r>
  <r>
    <s v="90-069-8934"/>
    <n v="40"/>
    <x v="1"/>
    <x v="1"/>
    <s v="Divorced"/>
    <m/>
    <s v="Master's"/>
    <s v="High"/>
    <s v="DhankutÄ"/>
    <x v="11"/>
    <n v="109.29"/>
    <n v="3"/>
    <n v="5146.29"/>
    <s v="Online"/>
    <n v="3"/>
    <n v="4"/>
    <n v="0"/>
    <s v="Medium"/>
    <s v="Somewhat Sensitive"/>
    <n v="2"/>
    <n v="2"/>
    <s v="High"/>
    <s v="Desktop"/>
    <s v="Debit Card"/>
    <x v="15"/>
    <b v="0"/>
    <b v="1"/>
    <s v="Wants-based"/>
    <s v="Express"/>
    <n v="11"/>
    <s v="slow buyer"/>
    <s v="30-39"/>
  </r>
  <r>
    <s v="45-073-7243"/>
    <n v="37"/>
    <x v="1"/>
    <x v="1"/>
    <s v="Single"/>
    <m/>
    <s v="Bachelor's"/>
    <s v="High"/>
    <s v="Jindong"/>
    <x v="4"/>
    <n v="356.45"/>
    <n v="6"/>
    <n v="7517.6"/>
    <s v="Mixed"/>
    <n v="5"/>
    <n v="5"/>
    <n v="2"/>
    <s v="Low"/>
    <s v="Very Sensitive"/>
    <n v="0"/>
    <n v="7"/>
    <s v="Medium"/>
    <s v="Smartphone"/>
    <s v="Credit Card"/>
    <x v="16"/>
    <b v="0"/>
    <b v="1"/>
    <s v="Planned"/>
    <s v="Standard"/>
    <n v="8"/>
    <s v="considerable buyer"/>
    <s v="30-39"/>
  </r>
  <r>
    <s v="89-883-2101"/>
    <n v="38"/>
    <x v="0"/>
    <x v="0"/>
    <s v="Divorced"/>
    <m/>
    <s v="Bachelor's"/>
    <s v="High"/>
    <s v="Ngeru"/>
    <x v="7"/>
    <n v="236.99"/>
    <n v="10"/>
    <n v="10437.69"/>
    <s v="Mixed"/>
    <n v="2"/>
    <n v="4"/>
    <n v="0"/>
    <s v="High"/>
    <s v="Very Sensitive"/>
    <n v="0"/>
    <n v="8"/>
    <s v="None"/>
    <s v="Tablet"/>
    <s v="PayPal"/>
    <x v="17"/>
    <b v="1"/>
    <b v="1"/>
    <s v="Impulsive"/>
    <s v="No Preference"/>
    <n v="13"/>
    <s v="slow buyer"/>
    <s v="30-39"/>
  </r>
  <r>
    <s v="00-477-9449"/>
    <n v="36"/>
    <x v="1"/>
    <x v="0"/>
    <s v="Widowed"/>
    <m/>
    <s v="Bachelor's"/>
    <s v="High"/>
    <s v="White Rock"/>
    <x v="12"/>
    <n v="454.39"/>
    <n v="10"/>
    <n v="10437.69"/>
    <s v="In-Store"/>
    <n v="2"/>
    <n v="4"/>
    <n v="2"/>
    <s v="Medium"/>
    <s v="Not Sensitive"/>
    <n v="0"/>
    <n v="3"/>
    <s v="None"/>
    <s v="Desktop"/>
    <s v="Other"/>
    <x v="18"/>
    <b v="0"/>
    <b v="1"/>
    <s v="Impulsive"/>
    <s v="Standard"/>
    <n v="3"/>
    <s v="quick buyer"/>
    <s v="30-39"/>
  </r>
  <r>
    <s v="67-159-7366"/>
    <n v="29"/>
    <x v="0"/>
    <x v="1"/>
    <s v="Widowed"/>
    <m/>
    <s v="Bachelor's"/>
    <s v="Middle"/>
    <s v="Monastyrshchina"/>
    <x v="13"/>
    <n v="490.75"/>
    <n v="10"/>
    <n v="10437.69"/>
    <s v="In-Store"/>
    <n v="2"/>
    <n v="4"/>
    <n v="1"/>
    <s v="None"/>
    <s v="Very Sensitive"/>
    <n v="1"/>
    <n v="4"/>
    <s v="Low"/>
    <s v="Smartphone"/>
    <s v="Debit Card"/>
    <x v="19"/>
    <b v="0"/>
    <b v="0"/>
    <s v="Wants-based"/>
    <s v="Standard"/>
    <n v="13"/>
    <s v="slow buyer"/>
    <s v="20-29"/>
  </r>
  <r>
    <s v="85-691-4293"/>
    <n v="21"/>
    <x v="0"/>
    <x v="0"/>
    <s v="Widowed"/>
    <m/>
    <s v="High School"/>
    <s v="Middle"/>
    <s v="Pangkalanbunut"/>
    <x v="14"/>
    <n v="463.07"/>
    <n v="7"/>
    <n v="7484.2200000000012"/>
    <s v="Mixed"/>
    <n v="4"/>
    <n v="2"/>
    <n v="0"/>
    <s v="None"/>
    <s v="Very Sensitive"/>
    <n v="1"/>
    <n v="2"/>
    <s v="Medium"/>
    <s v="Smartphone"/>
    <s v="PayPal"/>
    <x v="20"/>
    <b v="1"/>
    <b v="0"/>
    <s v="Wants-based"/>
    <s v="No Preference"/>
    <n v="11"/>
    <s v="slow buyer"/>
    <s v="20-29"/>
  </r>
  <r>
    <s v="56-085-0464"/>
    <n v="36"/>
    <x v="0"/>
    <x v="1"/>
    <s v="Married"/>
    <m/>
    <s v="Master's"/>
    <s v="High"/>
    <s v="Lederaba"/>
    <x v="15"/>
    <n v="56.74"/>
    <n v="5"/>
    <n v="7517.6"/>
    <s v="Online"/>
    <n v="5"/>
    <n v="1"/>
    <n v="0"/>
    <s v="Medium"/>
    <s v="Very Sensitive"/>
    <n v="0"/>
    <n v="6"/>
    <s v="None"/>
    <s v="Smartphone"/>
    <s v="Other"/>
    <x v="21"/>
    <b v="1"/>
    <b v="0"/>
    <s v="Impulsive"/>
    <s v="Express"/>
    <n v="7"/>
    <s v="considerable buyer"/>
    <s v="30-39"/>
  </r>
  <r>
    <s v="33-264-2822"/>
    <n v="38"/>
    <x v="1"/>
    <x v="1"/>
    <s v="Divorced"/>
    <m/>
    <s v="Bachelor's"/>
    <s v="Middle"/>
    <s v="Lugo"/>
    <x v="16"/>
    <n v="371.32"/>
    <n v="7"/>
    <n v="5146.29"/>
    <s v="In-Store"/>
    <n v="4"/>
    <n v="4"/>
    <n v="0.7"/>
    <s v="Medium"/>
    <s v="Not Sensitive"/>
    <n v="2"/>
    <n v="1"/>
    <s v="None"/>
    <s v="Tablet"/>
    <s v="Debit Card"/>
    <x v="22"/>
    <b v="1"/>
    <b v="1"/>
    <s v="Impulsive"/>
    <s v="Standard"/>
    <n v="6"/>
    <s v="considerable buyer"/>
    <s v="30-39"/>
  </r>
  <r>
    <s v="95-478-2650"/>
    <n v="37"/>
    <x v="0"/>
    <x v="0"/>
    <s v="Single"/>
    <m/>
    <s v="Bachelor's"/>
    <s v="Middle"/>
    <s v="SÃ£o Roque"/>
    <x v="14"/>
    <n v="461"/>
    <n v="7"/>
    <n v="7484.2200000000012"/>
    <s v="Online"/>
    <n v="2"/>
    <n v="4"/>
    <n v="1"/>
    <s v="High"/>
    <s v="Not Sensitive"/>
    <n v="0"/>
    <n v="8"/>
    <s v="Low"/>
    <s v="Tablet"/>
    <s v="Cash"/>
    <x v="23"/>
    <b v="0"/>
    <b v="1"/>
    <s v="Wants-based"/>
    <s v="Standard"/>
    <n v="9"/>
    <s v="considerable buyer"/>
    <s v="30-39"/>
  </r>
  <r>
    <s v="04-349-6759"/>
    <n v="33"/>
    <x v="0"/>
    <x v="1"/>
    <s v="Married"/>
    <m/>
    <s v="Bachelor's"/>
    <s v="High"/>
    <s v="BanÄ« KhaddÄsh"/>
    <x v="1"/>
    <n v="253.37"/>
    <n v="6"/>
    <n v="10437.69"/>
    <s v="In-Store"/>
    <n v="4"/>
    <n v="1"/>
    <n v="1"/>
    <s v="None"/>
    <s v="Very Sensitive"/>
    <n v="2"/>
    <n v="10"/>
    <s v="High"/>
    <s v="Tablet"/>
    <s v="Other"/>
    <x v="24"/>
    <b v="1"/>
    <b v="0"/>
    <s v="Impulsive"/>
    <s v="Standard"/>
    <n v="8"/>
    <s v="considerable buyer"/>
    <s v="30-39"/>
  </r>
  <r>
    <s v="21-755-8745"/>
    <n v="37"/>
    <x v="1"/>
    <x v="1"/>
    <s v="Widowed"/>
    <m/>
    <s v="High School"/>
    <s v="High"/>
    <s v="Montpellier"/>
    <x v="12"/>
    <n v="136.53"/>
    <n v="3"/>
    <n v="5146.29"/>
    <s v="Mixed"/>
    <n v="2"/>
    <n v="4"/>
    <n v="2"/>
    <s v="High"/>
    <s v="Not Sensitive"/>
    <n v="1"/>
    <n v="3"/>
    <s v="High"/>
    <s v="Smartphone"/>
    <s v="PayPal"/>
    <x v="25"/>
    <b v="1"/>
    <b v="1"/>
    <s v="Planned"/>
    <s v="Standard"/>
    <n v="10"/>
    <s v="considerable buyer"/>
    <s v="30-39"/>
  </r>
  <r>
    <s v="29-625-7057"/>
    <n v="31"/>
    <x v="0"/>
    <x v="0"/>
    <s v="Single"/>
    <m/>
    <s v="Master's"/>
    <s v="Middle"/>
    <s v="Nesovice"/>
    <x v="17"/>
    <n v="489.05"/>
    <n v="10"/>
    <n v="5146.29"/>
    <s v="Online"/>
    <n v="5"/>
    <n v="3"/>
    <n v="0"/>
    <s v="High"/>
    <s v="Somewhat Sensitive"/>
    <n v="2"/>
    <n v="2"/>
    <s v="High"/>
    <s v="Desktop"/>
    <s v="PayPal"/>
    <x v="26"/>
    <b v="1"/>
    <b v="1"/>
    <s v="Planned"/>
    <s v="Standard"/>
    <n v="7"/>
    <s v="considerable buyer"/>
    <s v="30-39"/>
  </r>
  <r>
    <s v="58-623-8404"/>
    <n v="50"/>
    <x v="1"/>
    <x v="1"/>
    <s v="Single"/>
    <m/>
    <s v="Master's"/>
    <s v="High"/>
    <s v="Pasirhuni"/>
    <x v="13"/>
    <n v="81.91"/>
    <n v="10"/>
    <n v="7484.2200000000012"/>
    <s v="In-Store"/>
    <n v="3"/>
    <n v="4"/>
    <n v="1"/>
    <s v="Medium"/>
    <s v="Very Sensitive"/>
    <n v="0"/>
    <n v="4"/>
    <s v="None"/>
    <s v="Desktop"/>
    <s v="Debit Card"/>
    <x v="27"/>
    <b v="0"/>
    <b v="1"/>
    <s v="Need-based"/>
    <s v="Express"/>
    <n v="2"/>
    <s v="quick buyer"/>
    <s v="40-49"/>
  </r>
  <r>
    <s v="56-506-4709"/>
    <n v="50"/>
    <x v="1"/>
    <x v="0"/>
    <s v="Married"/>
    <m/>
    <s v="Bachelor's"/>
    <s v="Middle"/>
    <s v="Glendale"/>
    <x v="17"/>
    <n v="135.80000000000001"/>
    <n v="2"/>
    <n v="10437.69"/>
    <s v="In-Store"/>
    <n v="2"/>
    <n v="5"/>
    <n v="1"/>
    <s v="Low"/>
    <s v="Somewhat Sensitive"/>
    <n v="1"/>
    <n v="2"/>
    <s v="High"/>
    <s v="Desktop"/>
    <s v="Debit Card"/>
    <x v="28"/>
    <b v="0"/>
    <b v="1"/>
    <s v="Planned"/>
    <s v="No Preference"/>
    <n v="9"/>
    <s v="considerable buyer"/>
    <s v="40-49"/>
  </r>
  <r>
    <s v="25-839-8670"/>
    <n v="45"/>
    <x v="0"/>
    <x v="0"/>
    <s v="Widowed"/>
    <m/>
    <s v="High School"/>
    <s v="Middle"/>
    <s v="TÃ¡la"/>
    <x v="18"/>
    <n v="382.24"/>
    <n v="12"/>
    <n v="7484.2200000000012"/>
    <s v="In-Store"/>
    <n v="1"/>
    <n v="5"/>
    <n v="1"/>
    <s v="High"/>
    <s v="Very Sensitive"/>
    <n v="1"/>
    <n v="4"/>
    <s v="High"/>
    <s v="Tablet"/>
    <s v="PayPal"/>
    <x v="29"/>
    <b v="1"/>
    <b v="1"/>
    <s v="Planned"/>
    <s v="Standard"/>
    <n v="3"/>
    <s v="quick buyer"/>
    <s v="40-49"/>
  </r>
  <r>
    <s v="89-194-0596"/>
    <n v="33"/>
    <x v="0"/>
    <x v="1"/>
    <s v="Married"/>
    <m/>
    <s v="Bachelor's"/>
    <s v="Middle"/>
    <s v="Marseille"/>
    <x v="0"/>
    <n v="354.7"/>
    <n v="5"/>
    <n v="7517.6"/>
    <s v="Online"/>
    <n v="4"/>
    <n v="2"/>
    <n v="0"/>
    <s v="None"/>
    <s v="Very Sensitive"/>
    <n v="2"/>
    <n v="7"/>
    <s v="None"/>
    <s v="Smartphone"/>
    <s v="Other"/>
    <x v="30"/>
    <b v="1"/>
    <b v="0"/>
    <s v="Planned"/>
    <s v="Express"/>
    <n v="12"/>
    <s v="slow buyer"/>
    <s v="30-39"/>
  </r>
  <r>
    <s v="55-163-1389"/>
    <n v="24"/>
    <x v="1"/>
    <x v="1"/>
    <s v="Divorced"/>
    <m/>
    <s v="Bachelor's"/>
    <s v="High"/>
    <s v="Nasielsk"/>
    <x v="7"/>
    <n v="433.82"/>
    <n v="6"/>
    <n v="7484.2200000000012"/>
    <s v="Online"/>
    <n v="3"/>
    <n v="2"/>
    <n v="1"/>
    <s v="Medium"/>
    <s v="Somewhat Sensitive"/>
    <n v="0"/>
    <n v="8"/>
    <s v="Medium"/>
    <s v="Desktop"/>
    <s v="Other"/>
    <x v="31"/>
    <b v="0"/>
    <b v="1"/>
    <s v="Planned"/>
    <s v="Express"/>
    <n v="10"/>
    <s v="considerable buyer"/>
    <s v="20-29"/>
  </r>
  <r>
    <s v="28-225-4286"/>
    <n v="39"/>
    <x v="3"/>
    <x v="1"/>
    <s v="Married"/>
    <m/>
    <s v="Bachelor's"/>
    <s v="Middle"/>
    <s v="Paris 06"/>
    <x v="7"/>
    <n v="282.13"/>
    <n v="5"/>
    <n v="10437.69"/>
    <s v="Mixed"/>
    <n v="4"/>
    <n v="5"/>
    <n v="1"/>
    <s v="None"/>
    <s v="Somewhat Sensitive"/>
    <n v="1"/>
    <n v="2"/>
    <s v="None"/>
    <s v="Tablet"/>
    <s v="Other"/>
    <x v="32"/>
    <b v="1"/>
    <b v="0"/>
    <s v="Need-based"/>
    <s v="Standard"/>
    <n v="9"/>
    <s v="considerable buyer"/>
    <s v="30-39"/>
  </r>
  <r>
    <s v="14-305-8712"/>
    <n v="48"/>
    <x v="1"/>
    <x v="1"/>
    <s v="Widowed"/>
    <m/>
    <s v="High School"/>
    <s v="Middle"/>
    <s v="Bronnitsy"/>
    <x v="7"/>
    <n v="454.38"/>
    <n v="10"/>
    <n v="7484.2200000000012"/>
    <s v="Online"/>
    <n v="3"/>
    <n v="4"/>
    <n v="0"/>
    <s v="None"/>
    <s v="Somewhat Sensitive"/>
    <n v="0"/>
    <n v="10"/>
    <s v="Medium"/>
    <s v="Smartphone"/>
    <s v="PayPal"/>
    <x v="33"/>
    <b v="1"/>
    <b v="0"/>
    <s v="Impulsive"/>
    <s v="No Preference"/>
    <n v="7"/>
    <s v="considerable buyer"/>
    <s v="40-49"/>
  </r>
  <r>
    <s v="85-738-6864"/>
    <n v="25"/>
    <x v="1"/>
    <x v="0"/>
    <s v="Married"/>
    <m/>
    <s v="High School"/>
    <s v="High"/>
    <s v="Inayauan"/>
    <x v="7"/>
    <n v="138.88"/>
    <n v="7"/>
    <n v="5146.29"/>
    <s v="In-Store"/>
    <n v="2"/>
    <n v="4"/>
    <n v="1"/>
    <s v="None"/>
    <s v="Not Sensitive"/>
    <n v="1"/>
    <n v="3"/>
    <s v="None"/>
    <s v="Tablet"/>
    <s v="Cash"/>
    <x v="34"/>
    <b v="1"/>
    <b v="0"/>
    <s v="Planned"/>
    <s v="No Preference"/>
    <n v="4"/>
    <s v="quick buyer"/>
    <s v="20-29"/>
  </r>
  <r>
    <s v="17-198-5155"/>
    <n v="30"/>
    <x v="0"/>
    <x v="1"/>
    <s v="Single"/>
    <m/>
    <s v="Bachelor's"/>
    <s v="High"/>
    <s v="Qianjin"/>
    <x v="5"/>
    <n v="52.34"/>
    <n v="6"/>
    <n v="5146.29"/>
    <s v="In-Store"/>
    <n v="3"/>
    <n v="4"/>
    <n v="1"/>
    <s v="Low"/>
    <s v="Somewhat Sensitive"/>
    <n v="1"/>
    <n v="5"/>
    <s v="Medium"/>
    <s v="Tablet"/>
    <s v="PayPal"/>
    <x v="35"/>
    <b v="1"/>
    <b v="1"/>
    <s v="Planned"/>
    <s v="Express"/>
    <n v="13"/>
    <s v="slow buyer"/>
    <s v="20-29"/>
  </r>
  <r>
    <s v="15-354-9904"/>
    <n v="34"/>
    <x v="1"/>
    <x v="0"/>
    <s v="Single"/>
    <m/>
    <s v="Bachelor's"/>
    <s v="High"/>
    <s v="Bagahanlad"/>
    <x v="19"/>
    <n v="338.2"/>
    <n v="7"/>
    <n v="10437.69"/>
    <s v="Online"/>
    <n v="3"/>
    <n v="5"/>
    <n v="0"/>
    <s v="None"/>
    <s v="Not Sensitive"/>
    <n v="1"/>
    <n v="9"/>
    <s v="Medium"/>
    <s v="Tablet"/>
    <s v="Other"/>
    <x v="36"/>
    <b v="1"/>
    <b v="0"/>
    <s v="Wants-based"/>
    <s v="Standard"/>
    <n v="7"/>
    <s v="considerable buyer"/>
    <s v="30-39"/>
  </r>
  <r>
    <s v="35-198-9248"/>
    <n v="21"/>
    <x v="0"/>
    <x v="0"/>
    <s v="Widowed"/>
    <m/>
    <s v="High School"/>
    <s v="Middle"/>
    <s v="Rzewnie"/>
    <x v="16"/>
    <n v="263.14999999999998"/>
    <n v="3"/>
    <n v="7484.2200000000012"/>
    <s v="In-Store"/>
    <n v="1"/>
    <n v="5"/>
    <n v="1"/>
    <s v="High"/>
    <s v="Somewhat Sensitive"/>
    <n v="1"/>
    <n v="10"/>
    <s v="High"/>
    <s v="Tablet"/>
    <s v="Other"/>
    <x v="37"/>
    <b v="1"/>
    <b v="0"/>
    <s v="Impulsive"/>
    <s v="Express"/>
    <n v="10"/>
    <s v="considerable buyer"/>
    <s v="20-29"/>
  </r>
  <r>
    <s v="03-950-6074"/>
    <n v="36"/>
    <x v="0"/>
    <x v="0"/>
    <s v="Married"/>
    <m/>
    <s v="Master's"/>
    <s v="Middle"/>
    <s v="Strabychovo"/>
    <x v="14"/>
    <n v="371.58"/>
    <n v="2"/>
    <n v="10437.69"/>
    <s v="Mixed"/>
    <n v="2"/>
    <n v="1"/>
    <n v="2"/>
    <s v="High"/>
    <s v="Not Sensitive"/>
    <n v="0"/>
    <n v="10"/>
    <s v="None"/>
    <s v="Smartphone"/>
    <s v="Cash"/>
    <x v="38"/>
    <b v="1"/>
    <b v="1"/>
    <s v="Wants-based"/>
    <s v="No Preference"/>
    <n v="11"/>
    <s v="slow buyer"/>
    <s v="30-39"/>
  </r>
  <r>
    <s v="19-999-0134"/>
    <n v="30"/>
    <x v="1"/>
    <x v="0"/>
    <s v="Widowed"/>
    <m/>
    <s v="Bachelor's"/>
    <s v="Middle"/>
    <s v="Hongqi"/>
    <x v="10"/>
    <n v="353.4"/>
    <n v="2"/>
    <n v="7517.6"/>
    <s v="Online"/>
    <n v="2"/>
    <n v="3"/>
    <n v="2"/>
    <s v="Medium"/>
    <s v="Very Sensitive"/>
    <n v="0"/>
    <n v="1"/>
    <s v="Low"/>
    <s v="Tablet"/>
    <s v="Credit Card"/>
    <x v="39"/>
    <b v="0"/>
    <b v="1"/>
    <s v="Impulsive"/>
    <s v="No Preference"/>
    <n v="3"/>
    <s v="quick buyer"/>
    <s v="20-29"/>
  </r>
  <r>
    <s v="57-989-1487"/>
    <n v="46"/>
    <x v="0"/>
    <x v="0"/>
    <s v="Divorced"/>
    <m/>
    <s v="High School"/>
    <s v="High"/>
    <s v="Oeoh"/>
    <x v="14"/>
    <n v="329.41"/>
    <n v="5"/>
    <n v="7484.2200000000012"/>
    <s v="In-Store"/>
    <n v="5"/>
    <n v="3"/>
    <n v="0"/>
    <s v="Medium"/>
    <s v="Somewhat Sensitive"/>
    <n v="1"/>
    <n v="1"/>
    <s v="High"/>
    <s v="Desktop"/>
    <s v="Cash"/>
    <x v="40"/>
    <b v="1"/>
    <b v="1"/>
    <s v="Need-based"/>
    <s v="No Preference"/>
    <n v="2"/>
    <s v="quick buyer"/>
    <s v="40-49"/>
  </r>
  <r>
    <s v="07-816-2673"/>
    <n v="46"/>
    <x v="0"/>
    <x v="0"/>
    <s v="Married"/>
    <m/>
    <s v="Master's"/>
    <s v="Middle"/>
    <s v="Topolâ€™noye"/>
    <x v="1"/>
    <n v="54.46"/>
    <n v="5"/>
    <n v="10437.69"/>
    <s v="Online"/>
    <n v="4"/>
    <n v="5"/>
    <n v="1"/>
    <s v="High"/>
    <s v="Not Sensitive"/>
    <n v="1"/>
    <n v="1"/>
    <s v="Low"/>
    <s v="Tablet"/>
    <s v="Other"/>
    <x v="41"/>
    <b v="0"/>
    <b v="0"/>
    <s v="Impulsive"/>
    <s v="Standard"/>
    <n v="1"/>
    <s v="quick buyer"/>
    <s v="40-49"/>
  </r>
  <r>
    <s v="70-761-3550"/>
    <n v="43"/>
    <x v="1"/>
    <x v="1"/>
    <s v="Widowed"/>
    <m/>
    <s v="Master's"/>
    <s v="Middle"/>
    <s v="KovÃ¡Å™ov"/>
    <x v="5"/>
    <n v="257.12"/>
    <n v="8"/>
    <n v="7517.6"/>
    <s v="Online"/>
    <n v="2"/>
    <n v="1"/>
    <n v="0"/>
    <s v="High"/>
    <s v="Not Sensitive"/>
    <n v="2"/>
    <n v="1"/>
    <s v="High"/>
    <s v="Smartphone"/>
    <s v="Other"/>
    <x v="42"/>
    <b v="1"/>
    <b v="0"/>
    <s v="Impulsive"/>
    <s v="No Preference"/>
    <n v="11"/>
    <s v="slow buyer"/>
    <s v="40-49"/>
  </r>
  <r>
    <s v="38-242-3251"/>
    <n v="43"/>
    <x v="1"/>
    <x v="1"/>
    <s v="Divorced"/>
    <m/>
    <s v="Bachelor's"/>
    <s v="Middle"/>
    <s v="Majdal BanÄ« FÄá¸‘il"/>
    <x v="17"/>
    <n v="293.04000000000002"/>
    <n v="11"/>
    <n v="5146.29"/>
    <s v="In-Store"/>
    <n v="4"/>
    <n v="2"/>
    <n v="1"/>
    <s v="None"/>
    <s v="Very Sensitive"/>
    <n v="1"/>
    <n v="3"/>
    <s v="Low"/>
    <s v="Desktop"/>
    <s v="PayPal"/>
    <x v="43"/>
    <b v="1"/>
    <b v="0"/>
    <s v="Planned"/>
    <s v="Standard"/>
    <n v="6"/>
    <s v="considerable buyer"/>
    <s v="40-49"/>
  </r>
  <r>
    <s v="95-525-0842"/>
    <n v="34"/>
    <x v="1"/>
    <x v="1"/>
    <s v="Single"/>
    <m/>
    <s v="Master's"/>
    <s v="High"/>
    <s v="Delta del Tigre"/>
    <x v="5"/>
    <n v="110.4"/>
    <n v="12"/>
    <n v="7484.2200000000012"/>
    <s v="Mixed"/>
    <n v="5"/>
    <n v="1"/>
    <n v="2"/>
    <s v="None"/>
    <s v="Somewhat Sensitive"/>
    <n v="1"/>
    <n v="3"/>
    <s v="Medium"/>
    <s v="Tablet"/>
    <s v="Debit Card"/>
    <x v="44"/>
    <b v="0"/>
    <b v="0"/>
    <s v="Need-based"/>
    <s v="Standard"/>
    <n v="12"/>
    <s v="slow buyer"/>
    <s v="30-39"/>
  </r>
  <r>
    <s v="37-101-4922"/>
    <n v="42"/>
    <x v="0"/>
    <x v="0"/>
    <s v="Married"/>
    <m/>
    <s v="Master's"/>
    <s v="High"/>
    <s v="Santa Cruz La Laguna"/>
    <x v="7"/>
    <n v="76.27"/>
    <n v="4"/>
    <n v="10437.69"/>
    <s v="In-Store"/>
    <n v="2"/>
    <n v="3"/>
    <n v="0"/>
    <s v="None"/>
    <s v="Not Sensitive"/>
    <n v="0"/>
    <n v="8"/>
    <s v="Medium"/>
    <s v="Smartphone"/>
    <s v="Credit Card"/>
    <x v="45"/>
    <b v="1"/>
    <b v="0"/>
    <s v="Wants-based"/>
    <s v="Standard"/>
    <n v="10"/>
    <s v="considerable buyer"/>
    <s v="40-49"/>
  </r>
  <r>
    <s v="37-128-5425"/>
    <n v="40"/>
    <x v="0"/>
    <x v="1"/>
    <s v="Widowed"/>
    <m/>
    <s v="Bachelor's"/>
    <s v="Middle"/>
    <s v="Manchester"/>
    <x v="16"/>
    <n v="392.08"/>
    <n v="6"/>
    <n v="7484.2200000000012"/>
    <s v="Online"/>
    <n v="2"/>
    <n v="5"/>
    <n v="1"/>
    <s v="None"/>
    <s v="Very Sensitive"/>
    <n v="2"/>
    <n v="7"/>
    <s v="High"/>
    <s v="Tablet"/>
    <s v="Other"/>
    <x v="46"/>
    <b v="1"/>
    <b v="1"/>
    <s v="Need-based"/>
    <s v="Express"/>
    <n v="6"/>
    <s v="considerable buyer"/>
    <s v="30-39"/>
  </r>
  <r>
    <s v="27-439-9545"/>
    <n v="25"/>
    <x v="0"/>
    <x v="1"/>
    <s v="Married"/>
    <m/>
    <s v="Bachelor's"/>
    <s v="High"/>
    <s v="NorrkÃ¶ping"/>
    <x v="16"/>
    <n v="51.22"/>
    <n v="6"/>
    <n v="7517.6"/>
    <s v="Online"/>
    <n v="2"/>
    <n v="1"/>
    <n v="0"/>
    <s v="None"/>
    <s v="Very Sensitive"/>
    <n v="1"/>
    <n v="5"/>
    <s v="Medium"/>
    <s v="Tablet"/>
    <s v="Cash"/>
    <x v="47"/>
    <b v="1"/>
    <b v="1"/>
    <s v="Planned"/>
    <s v="Standard"/>
    <n v="5"/>
    <s v="considerable buyer"/>
    <s v="20-29"/>
  </r>
  <r>
    <s v="37-126-7954"/>
    <n v="38"/>
    <x v="1"/>
    <x v="0"/>
    <s v="Divorced"/>
    <m/>
    <s v="Bachelor's"/>
    <s v="High"/>
    <s v="SoÅ›no"/>
    <x v="20"/>
    <n v="227.57"/>
    <n v="2"/>
    <n v="10437.69"/>
    <s v="Online"/>
    <n v="1"/>
    <n v="2"/>
    <n v="0"/>
    <s v="High"/>
    <s v="Somewhat Sensitive"/>
    <n v="1"/>
    <n v="6"/>
    <s v="None"/>
    <s v="Tablet"/>
    <s v="PayPal"/>
    <x v="48"/>
    <b v="0"/>
    <b v="1"/>
    <s v="Wants-based"/>
    <s v="No Preference"/>
    <n v="14"/>
    <s v="slow buyer"/>
    <s v="30-39"/>
  </r>
  <r>
    <s v="82-990-0504"/>
    <n v="46"/>
    <x v="0"/>
    <x v="0"/>
    <s v="Widowed"/>
    <m/>
    <s v="Bachelor's"/>
    <s v="Middle"/>
    <s v="PÃ©lla"/>
    <x v="19"/>
    <n v="378.87"/>
    <n v="7"/>
    <n v="10437.69"/>
    <s v="Online"/>
    <n v="1"/>
    <n v="2"/>
    <n v="0"/>
    <s v="None"/>
    <s v="Very Sensitive"/>
    <n v="1"/>
    <n v="2"/>
    <s v="Low"/>
    <s v="Tablet"/>
    <s v="PayPal"/>
    <x v="49"/>
    <b v="1"/>
    <b v="0"/>
    <s v="Planned"/>
    <s v="No Preference"/>
    <n v="5"/>
    <s v="considerable buyer"/>
    <s v="40-49"/>
  </r>
  <r>
    <s v="21-734-0212"/>
    <n v="24"/>
    <x v="0"/>
    <x v="0"/>
    <s v="Widowed"/>
    <m/>
    <s v="High School"/>
    <s v="High"/>
    <s v="Namur"/>
    <x v="21"/>
    <n v="423.92"/>
    <n v="8"/>
    <n v="10437.69"/>
    <s v="Mixed"/>
    <n v="3"/>
    <n v="1"/>
    <n v="2"/>
    <s v="Low"/>
    <s v="Somewhat Sensitive"/>
    <n v="0"/>
    <n v="9"/>
    <s v="High"/>
    <s v="Tablet"/>
    <s v="Credit Card"/>
    <x v="50"/>
    <b v="0"/>
    <b v="1"/>
    <s v="Need-based"/>
    <s v="Standard"/>
    <n v="8"/>
    <s v="considerable buyer"/>
    <s v="20-29"/>
  </r>
  <r>
    <s v="76-148-9413"/>
    <n v="43"/>
    <x v="4"/>
    <x v="1"/>
    <s v="Widowed"/>
    <m/>
    <s v="Master's"/>
    <s v="Middle"/>
    <s v="Benevides"/>
    <x v="17"/>
    <n v="111.24"/>
    <n v="9"/>
    <n v="5146.29"/>
    <s v="Mixed"/>
    <n v="5"/>
    <n v="2"/>
    <n v="0"/>
    <s v="Medium"/>
    <s v="Somewhat Sensitive"/>
    <n v="0"/>
    <n v="2"/>
    <s v="High"/>
    <s v="Smartphone"/>
    <s v="Credit Card"/>
    <x v="51"/>
    <b v="1"/>
    <b v="0"/>
    <s v="Need-based"/>
    <s v="No Preference"/>
    <n v="12"/>
    <s v="slow buyer"/>
    <s v="40-49"/>
  </r>
  <r>
    <s v="53-639-3774"/>
    <n v="37"/>
    <x v="0"/>
    <x v="0"/>
    <s v="Single"/>
    <m/>
    <s v="Bachelor's"/>
    <s v="Middle"/>
    <s v="Qinghaihu"/>
    <x v="22"/>
    <n v="299.31"/>
    <n v="7"/>
    <n v="10437.69"/>
    <s v="Mixed"/>
    <n v="2"/>
    <n v="4"/>
    <n v="1"/>
    <s v="Medium"/>
    <s v="Very Sensitive"/>
    <n v="2"/>
    <n v="3"/>
    <s v="None"/>
    <s v="Desktop"/>
    <s v="Debit Card"/>
    <x v="52"/>
    <b v="1"/>
    <b v="0"/>
    <s v="Need-based"/>
    <s v="Express"/>
    <n v="3"/>
    <s v="quick buyer"/>
    <s v="30-39"/>
  </r>
  <r>
    <s v="20-817-9584"/>
    <n v="42"/>
    <x v="1"/>
    <x v="0"/>
    <s v="Widowed"/>
    <m/>
    <s v="Master's"/>
    <s v="Middle"/>
    <s v="AlfeizerÃ£o"/>
    <x v="9"/>
    <n v="169.28"/>
    <n v="7"/>
    <n v="10437.69"/>
    <s v="Mixed"/>
    <n v="4"/>
    <n v="4"/>
    <n v="1"/>
    <s v="None"/>
    <s v="Somewhat Sensitive"/>
    <n v="2"/>
    <n v="1"/>
    <s v="Low"/>
    <s v="Tablet"/>
    <s v="Cash"/>
    <x v="53"/>
    <b v="1"/>
    <b v="1"/>
    <s v="Impulsive"/>
    <s v="No Preference"/>
    <n v="6"/>
    <s v="considerable buyer"/>
    <s v="40-49"/>
  </r>
  <r>
    <s v="18-655-3670"/>
    <n v="29"/>
    <x v="1"/>
    <x v="0"/>
    <s v="Widowed"/>
    <m/>
    <s v="High School"/>
    <s v="High"/>
    <s v="ProstÅ™ednÃ­ BeÄva"/>
    <x v="2"/>
    <n v="449.13"/>
    <n v="9"/>
    <n v="7484.2200000000012"/>
    <s v="In-Store"/>
    <n v="2"/>
    <n v="1"/>
    <n v="0.5"/>
    <s v="Medium"/>
    <s v="Not Sensitive"/>
    <n v="2"/>
    <n v="2"/>
    <s v="Low"/>
    <s v="Tablet"/>
    <s v="Credit Card"/>
    <x v="54"/>
    <b v="0"/>
    <b v="0"/>
    <s v="Planned"/>
    <s v="No Preference"/>
    <n v="14"/>
    <s v="slow buyer"/>
    <s v="20-29"/>
  </r>
  <r>
    <s v="72-431-5021"/>
    <n v="35"/>
    <x v="0"/>
    <x v="1"/>
    <s v="Married"/>
    <m/>
    <s v="Master's"/>
    <s v="High"/>
    <s v="Oeiras"/>
    <x v="9"/>
    <n v="427.48"/>
    <n v="6"/>
    <n v="5146.29"/>
    <s v="Online"/>
    <n v="4"/>
    <n v="2"/>
    <n v="0"/>
    <s v="Medium"/>
    <s v="Not Sensitive"/>
    <n v="1"/>
    <n v="1"/>
    <s v="Low"/>
    <s v="Smartphone"/>
    <s v="Debit Card"/>
    <x v="55"/>
    <b v="1"/>
    <b v="0"/>
    <s v="Impulsive"/>
    <s v="Standard"/>
    <n v="11"/>
    <s v="slow buyer"/>
    <s v="30-39"/>
  </r>
  <r>
    <s v="07-479-3919"/>
    <n v="27"/>
    <x v="0"/>
    <x v="0"/>
    <s v="Single"/>
    <m/>
    <s v="High School"/>
    <s v="High"/>
    <s v="KÃ½thnos"/>
    <x v="6"/>
    <n v="171.61"/>
    <n v="3"/>
    <n v="7484.2200000000012"/>
    <s v="Online"/>
    <n v="3"/>
    <n v="1"/>
    <n v="2"/>
    <s v="Low"/>
    <s v="Very Sensitive"/>
    <n v="1"/>
    <n v="6"/>
    <s v="High"/>
    <s v="Desktop"/>
    <s v="Credit Card"/>
    <x v="56"/>
    <b v="1"/>
    <b v="0"/>
    <s v="Planned"/>
    <s v="Express"/>
    <n v="8"/>
    <s v="considerable buyer"/>
    <s v="20-29"/>
  </r>
  <r>
    <s v="17-032-6274"/>
    <n v="40"/>
    <x v="0"/>
    <x v="1"/>
    <s v="Married"/>
    <m/>
    <s v="Bachelor's"/>
    <s v="High"/>
    <s v="Rizal"/>
    <x v="5"/>
    <n v="240.28"/>
    <n v="3"/>
    <n v="5146.29"/>
    <s v="Online"/>
    <n v="3"/>
    <n v="5"/>
    <n v="2"/>
    <s v="High"/>
    <s v="Not Sensitive"/>
    <n v="2"/>
    <n v="7"/>
    <s v="Medium"/>
    <s v="Tablet"/>
    <s v="Cash"/>
    <x v="57"/>
    <b v="1"/>
    <b v="1"/>
    <s v="Impulsive"/>
    <s v="Standard"/>
    <n v="4"/>
    <s v="quick buyer"/>
    <s v="30-39"/>
  </r>
  <r>
    <s v="64-166-9097"/>
    <n v="34"/>
    <x v="0"/>
    <x v="1"/>
    <s v="Single"/>
    <m/>
    <s v="High School"/>
    <s v="High"/>
    <s v="Fullerton"/>
    <x v="4"/>
    <n v="310.17"/>
    <n v="6"/>
    <n v="7484.2200000000012"/>
    <s v="In-Store"/>
    <n v="2"/>
    <n v="3"/>
    <n v="2"/>
    <s v="Medium"/>
    <s v="Very Sensitive"/>
    <n v="0"/>
    <n v="10"/>
    <s v="None"/>
    <s v="Smartphone"/>
    <s v="Debit Card"/>
    <x v="58"/>
    <b v="0"/>
    <b v="0"/>
    <s v="Wants-based"/>
    <s v="No Preference"/>
    <n v="13"/>
    <s v="slow buyer"/>
    <s v="30-39"/>
  </r>
  <r>
    <s v="39-499-3854"/>
    <n v="25"/>
    <x v="0"/>
    <x v="0"/>
    <s v="Married"/>
    <m/>
    <s v="Bachelor's"/>
    <s v="Middle"/>
    <s v="Huaidao"/>
    <x v="11"/>
    <n v="166"/>
    <n v="10"/>
    <n v="7517.6"/>
    <s v="Online"/>
    <n v="5"/>
    <n v="3"/>
    <n v="0"/>
    <s v="High"/>
    <s v="Not Sensitive"/>
    <n v="2"/>
    <n v="10"/>
    <s v="Medium"/>
    <s v="Smartphone"/>
    <s v="PayPal"/>
    <x v="59"/>
    <b v="0"/>
    <b v="0"/>
    <s v="Impulsive"/>
    <s v="Express"/>
    <n v="5"/>
    <s v="considerable buyer"/>
    <s v="20-29"/>
  </r>
  <r>
    <s v="39-636-5871"/>
    <n v="38"/>
    <x v="1"/>
    <x v="1"/>
    <s v="Divorced"/>
    <m/>
    <s v="Bachelor's"/>
    <s v="High"/>
    <s v="Bilice"/>
    <x v="15"/>
    <n v="362.01"/>
    <n v="2"/>
    <n v="7484.2200000000012"/>
    <s v="In-Store"/>
    <n v="2"/>
    <n v="4"/>
    <n v="1"/>
    <s v="None"/>
    <s v="Somewhat Sensitive"/>
    <n v="2"/>
    <n v="1"/>
    <s v="Medium"/>
    <s v="Tablet"/>
    <s v="Debit Card"/>
    <x v="60"/>
    <b v="0"/>
    <b v="0"/>
    <s v="Impulsive"/>
    <s v="Express"/>
    <n v="1"/>
    <s v="quick buyer"/>
    <s v="30-39"/>
  </r>
  <r>
    <s v="71-667-2334"/>
    <n v="33"/>
    <x v="5"/>
    <x v="1"/>
    <s v="Married"/>
    <m/>
    <s v="Bachelor's"/>
    <s v="Middle"/>
    <s v="Isla Verde"/>
    <x v="22"/>
    <n v="348.5"/>
    <n v="3"/>
    <n v="7484.2200000000012"/>
    <s v="Mixed"/>
    <n v="2"/>
    <n v="3"/>
    <n v="2"/>
    <s v="None"/>
    <s v="Not Sensitive"/>
    <n v="0"/>
    <n v="6"/>
    <s v="Medium"/>
    <s v="Smartphone"/>
    <s v="Debit Card"/>
    <x v="61"/>
    <b v="0"/>
    <b v="0"/>
    <s v="Planned"/>
    <s v="No Preference"/>
    <n v="8"/>
    <s v="considerable buyer"/>
    <s v="30-39"/>
  </r>
  <r>
    <s v="35-192-9050"/>
    <n v="32"/>
    <x v="0"/>
    <x v="0"/>
    <s v="Married"/>
    <m/>
    <s v="Bachelor's"/>
    <s v="High"/>
    <s v="Hunkuyi"/>
    <x v="9"/>
    <n v="395.97"/>
    <n v="9"/>
    <n v="10437.69"/>
    <s v="In-Store"/>
    <n v="1"/>
    <n v="4"/>
    <n v="0"/>
    <s v="Medium"/>
    <s v="Very Sensitive"/>
    <n v="1"/>
    <n v="6"/>
    <s v="Low"/>
    <s v="Tablet"/>
    <s v="Debit Card"/>
    <x v="62"/>
    <b v="1"/>
    <b v="1"/>
    <s v="Wants-based"/>
    <s v="Standard"/>
    <n v="1"/>
    <s v="quick buyer"/>
    <s v="30-39"/>
  </r>
  <r>
    <s v="91-440-0011"/>
    <n v="50"/>
    <x v="0"/>
    <x v="0"/>
    <s v="Widowed"/>
    <m/>
    <s v="High School"/>
    <s v="Middle"/>
    <s v="Shiree"/>
    <x v="6"/>
    <n v="474.99"/>
    <n v="9"/>
    <n v="10437.69"/>
    <s v="Online"/>
    <n v="2"/>
    <n v="4"/>
    <n v="1"/>
    <s v="None"/>
    <s v="Somewhat Sensitive"/>
    <n v="0"/>
    <n v="8"/>
    <s v="High"/>
    <s v="Desktop"/>
    <s v="Credit Card"/>
    <x v="63"/>
    <b v="1"/>
    <b v="0"/>
    <s v="Planned"/>
    <s v="Standard"/>
    <n v="5"/>
    <s v="considerable buyer"/>
    <s v="40-49"/>
  </r>
  <r>
    <s v="20-830-4758"/>
    <n v="35"/>
    <x v="0"/>
    <x v="0"/>
    <s v="Widowed"/>
    <m/>
    <s v="High School"/>
    <s v="Middle"/>
    <s v="Strezhevoy"/>
    <x v="8"/>
    <n v="286.43"/>
    <n v="4"/>
    <n v="10437.69"/>
    <s v="Mixed"/>
    <n v="1"/>
    <n v="3"/>
    <n v="0"/>
    <s v="High"/>
    <s v="Very Sensitive"/>
    <n v="2"/>
    <n v="3"/>
    <s v="None"/>
    <s v="Desktop"/>
    <s v="Cash"/>
    <x v="64"/>
    <b v="1"/>
    <b v="0"/>
    <s v="Wants-based"/>
    <s v="Express"/>
    <n v="14"/>
    <s v="slow buyer"/>
    <s v="30-39"/>
  </r>
  <r>
    <s v="84-337-1016"/>
    <n v="19"/>
    <x v="3"/>
    <x v="1"/>
    <s v="Widowed"/>
    <m/>
    <s v="High School"/>
    <s v="High"/>
    <s v="Longxing"/>
    <x v="10"/>
    <n v="333.32"/>
    <n v="8"/>
    <n v="5146.29"/>
    <s v="Online"/>
    <n v="1"/>
    <n v="5"/>
    <n v="0"/>
    <s v="Low"/>
    <s v="Very Sensitive"/>
    <n v="0"/>
    <n v="3"/>
    <s v="High"/>
    <s v="Smartphone"/>
    <s v="Credit Card"/>
    <x v="65"/>
    <b v="1"/>
    <b v="0"/>
    <s v="Planned"/>
    <s v="No Preference"/>
    <n v="3"/>
    <s v="quick buyer"/>
    <s v="&lt;20"/>
  </r>
  <r>
    <s v="09-346-4992"/>
    <n v="46"/>
    <x v="2"/>
    <x v="1"/>
    <s v="Single"/>
    <m/>
    <s v="Master's"/>
    <s v="High"/>
    <s v="JesÃºs MenÃ©ndez"/>
    <x v="13"/>
    <n v="223.47"/>
    <n v="9"/>
    <n v="7517.6"/>
    <s v="Mixed"/>
    <n v="2"/>
    <n v="1"/>
    <n v="1"/>
    <s v="High"/>
    <s v="Somewhat Sensitive"/>
    <n v="0"/>
    <n v="2"/>
    <s v="None"/>
    <s v="Tablet"/>
    <s v="Debit Card"/>
    <x v="66"/>
    <b v="1"/>
    <b v="1"/>
    <s v="Need-based"/>
    <s v="Standard"/>
    <n v="8"/>
    <s v="considerable buyer"/>
    <s v="40-49"/>
  </r>
  <r>
    <s v="75-083-3608"/>
    <n v="23"/>
    <x v="1"/>
    <x v="0"/>
    <s v="Divorced"/>
    <m/>
    <s v="Master's"/>
    <s v="Middle"/>
    <s v="Hongguang"/>
    <x v="6"/>
    <n v="414.83"/>
    <n v="2"/>
    <n v="10437.69"/>
    <s v="Mixed"/>
    <n v="2"/>
    <n v="4"/>
    <n v="0.5"/>
    <s v="High"/>
    <s v="Somewhat Sensitive"/>
    <n v="2"/>
    <n v="4"/>
    <s v="High"/>
    <s v="Desktop"/>
    <s v="Credit Card"/>
    <x v="67"/>
    <b v="0"/>
    <b v="0"/>
    <s v="Planned"/>
    <s v="Express"/>
    <n v="8"/>
    <s v="considerable buyer"/>
    <s v="20-29"/>
  </r>
  <r>
    <s v="29-779-7209"/>
    <n v="34"/>
    <x v="0"/>
    <x v="1"/>
    <s v="Widowed"/>
    <m/>
    <s v="Master's"/>
    <s v="High"/>
    <s v="Pilaya"/>
    <x v="5"/>
    <n v="391.38"/>
    <n v="5"/>
    <n v="7517.6"/>
    <s v="In-Store"/>
    <n v="5"/>
    <n v="2"/>
    <n v="2"/>
    <s v="Low"/>
    <s v="Not Sensitive"/>
    <n v="0"/>
    <n v="7"/>
    <s v="Low"/>
    <s v="Tablet"/>
    <s v="Other"/>
    <x v="68"/>
    <b v="0"/>
    <b v="0"/>
    <s v="Need-based"/>
    <s v="No Preference"/>
    <n v="8"/>
    <s v="considerable buyer"/>
    <s v="30-39"/>
  </r>
  <r>
    <s v="12-409-5166"/>
    <n v="48"/>
    <x v="1"/>
    <x v="0"/>
    <s v="Divorced"/>
    <m/>
    <s v="Bachelor's"/>
    <s v="High"/>
    <s v="Camp Ithier"/>
    <x v="4"/>
    <n v="368.4"/>
    <n v="11"/>
    <n v="10437.69"/>
    <s v="Online"/>
    <n v="2"/>
    <n v="5"/>
    <n v="1"/>
    <s v="High"/>
    <s v="Not Sensitive"/>
    <n v="0"/>
    <n v="3"/>
    <s v="High"/>
    <s v="Desktop"/>
    <s v="Credit Card"/>
    <x v="69"/>
    <b v="0"/>
    <b v="0"/>
    <s v="Need-based"/>
    <s v="No Preference"/>
    <n v="13"/>
    <s v="slow buyer"/>
    <s v="40-49"/>
  </r>
  <r>
    <s v="07-024-4995"/>
    <n v="27"/>
    <x v="2"/>
    <x v="0"/>
    <s v="Widowed"/>
    <m/>
    <s v="High School"/>
    <s v="Middle"/>
    <s v="Holboo"/>
    <x v="4"/>
    <n v="328.36"/>
    <n v="11"/>
    <n v="7517.6"/>
    <s v="In-Store"/>
    <n v="1"/>
    <n v="4"/>
    <n v="2"/>
    <s v="High"/>
    <s v="Very Sensitive"/>
    <n v="0"/>
    <n v="4"/>
    <s v="None"/>
    <s v="Tablet"/>
    <s v="Cash"/>
    <x v="70"/>
    <b v="0"/>
    <b v="1"/>
    <s v="Wants-based"/>
    <s v="Express"/>
    <n v="4"/>
    <s v="quick buyer"/>
    <s v="20-29"/>
  </r>
  <r>
    <s v="74-478-5950"/>
    <n v="37"/>
    <x v="0"/>
    <x v="0"/>
    <s v="Divorced"/>
    <m/>
    <s v="Bachelor's"/>
    <s v="Middle"/>
    <s v="Luxi"/>
    <x v="3"/>
    <n v="424.39"/>
    <n v="9"/>
    <n v="7484.2200000000012"/>
    <s v="Mixed"/>
    <n v="3"/>
    <n v="1"/>
    <n v="1"/>
    <s v="High"/>
    <s v="Somewhat Sensitive"/>
    <n v="0"/>
    <n v="7"/>
    <s v="Low"/>
    <s v="Smartphone"/>
    <s v="Credit Card"/>
    <x v="71"/>
    <b v="1"/>
    <b v="0"/>
    <s v="Wants-based"/>
    <s v="No Preference"/>
    <n v="13"/>
    <s v="slow buyer"/>
    <s v="30-39"/>
  </r>
  <r>
    <s v="31-395-1286"/>
    <n v="47"/>
    <x v="1"/>
    <x v="1"/>
    <s v="Married"/>
    <m/>
    <s v="High School"/>
    <s v="High"/>
    <s v="Ostashkov"/>
    <x v="18"/>
    <n v="197.12"/>
    <n v="10"/>
    <n v="5146.29"/>
    <s v="In-Store"/>
    <n v="4"/>
    <n v="4"/>
    <n v="0"/>
    <s v="Low"/>
    <s v="Somewhat Sensitive"/>
    <n v="1"/>
    <n v="1"/>
    <s v="Medium"/>
    <s v="Tablet"/>
    <s v="Other"/>
    <x v="72"/>
    <b v="1"/>
    <b v="1"/>
    <s v="Wants-based"/>
    <s v="Standard"/>
    <n v="10"/>
    <s v="considerable buyer"/>
    <s v="40-49"/>
  </r>
  <r>
    <s v="60-838-4334"/>
    <n v="45"/>
    <x v="1"/>
    <x v="1"/>
    <s v="Single"/>
    <m/>
    <s v="Bachelor's"/>
    <s v="High"/>
    <s v="Hongshanzui"/>
    <x v="5"/>
    <n v="454.57"/>
    <n v="9"/>
    <n v="7517.6"/>
    <s v="Mixed"/>
    <n v="2"/>
    <n v="5"/>
    <n v="1"/>
    <s v="Low"/>
    <s v="Somewhat Sensitive"/>
    <n v="0"/>
    <n v="1"/>
    <s v="Medium"/>
    <s v="Smartphone"/>
    <s v="Debit Card"/>
    <x v="73"/>
    <b v="1"/>
    <b v="1"/>
    <s v="Wants-based"/>
    <s v="Express"/>
    <n v="1"/>
    <s v="quick buyer"/>
    <s v="40-49"/>
  </r>
  <r>
    <s v="71-197-8227"/>
    <n v="37"/>
    <x v="1"/>
    <x v="0"/>
    <s v="Divorced"/>
    <m/>
    <s v="High School"/>
    <s v="High"/>
    <s v="Tocoa"/>
    <x v="13"/>
    <n v="298.38"/>
    <n v="4"/>
    <n v="7517.6"/>
    <s v="Mixed"/>
    <n v="3"/>
    <n v="4"/>
    <n v="2"/>
    <s v="High"/>
    <s v="Very Sensitive"/>
    <n v="0"/>
    <n v="2"/>
    <s v="Low"/>
    <s v="Tablet"/>
    <s v="Cash"/>
    <x v="74"/>
    <b v="0"/>
    <b v="1"/>
    <s v="Need-based"/>
    <s v="Standard"/>
    <n v="3"/>
    <s v="quick buyer"/>
    <s v="30-39"/>
  </r>
  <r>
    <s v="15-530-3861"/>
    <n v="36"/>
    <x v="1"/>
    <x v="1"/>
    <s v="Divorced"/>
    <m/>
    <s v="High School"/>
    <s v="High"/>
    <s v="Bayan Tuohai"/>
    <x v="20"/>
    <n v="111.7"/>
    <n v="6"/>
    <n v="7484.2200000000012"/>
    <s v="Online"/>
    <n v="4"/>
    <n v="5"/>
    <n v="0"/>
    <s v="Medium"/>
    <s v="Somewhat Sensitive"/>
    <n v="2"/>
    <n v="5"/>
    <s v="High"/>
    <s v="Tablet"/>
    <s v="Credit Card"/>
    <x v="75"/>
    <b v="0"/>
    <b v="0"/>
    <s v="Planned"/>
    <s v="Standard"/>
    <n v="7"/>
    <s v="considerable buyer"/>
    <s v="30-39"/>
  </r>
  <r>
    <s v="30-567-4471"/>
    <n v="34"/>
    <x v="1"/>
    <x v="0"/>
    <s v="Married"/>
    <m/>
    <s v="Bachelor's"/>
    <s v="Middle"/>
    <s v="Parumasan"/>
    <x v="20"/>
    <n v="373.69"/>
    <n v="10"/>
    <n v="10437.69"/>
    <s v="Online"/>
    <n v="3"/>
    <n v="2"/>
    <n v="2"/>
    <s v="Medium"/>
    <s v="Not Sensitive"/>
    <n v="1"/>
    <n v="8"/>
    <s v="None"/>
    <s v="Tablet"/>
    <s v="Credit Card"/>
    <x v="76"/>
    <b v="0"/>
    <b v="1"/>
    <s v="Impulsive"/>
    <s v="Express"/>
    <n v="14"/>
    <s v="slow buyer"/>
    <s v="30-39"/>
  </r>
  <r>
    <s v="04-465-1819"/>
    <n v="37"/>
    <x v="1"/>
    <x v="1"/>
    <s v="Widowed"/>
    <m/>
    <s v="Master's"/>
    <s v="Middle"/>
    <s v="Karpogory"/>
    <x v="23"/>
    <n v="354.87"/>
    <n v="5"/>
    <n v="10437.69"/>
    <s v="In-Store"/>
    <n v="1"/>
    <n v="1"/>
    <n v="0"/>
    <s v="None"/>
    <s v="Not Sensitive"/>
    <n v="2"/>
    <n v="4"/>
    <s v="None"/>
    <s v="Desktop"/>
    <s v="Cash"/>
    <x v="77"/>
    <b v="0"/>
    <b v="1"/>
    <s v="Planned"/>
    <s v="Express"/>
    <n v="12"/>
    <s v="slow buyer"/>
    <s v="30-39"/>
  </r>
  <r>
    <s v="69-692-0614"/>
    <n v="18"/>
    <x v="0"/>
    <x v="0"/>
    <s v="Widowed"/>
    <m/>
    <s v="Bachelor's"/>
    <s v="High"/>
    <s v="ShÄhzÄdpur"/>
    <x v="7"/>
    <n v="214.48"/>
    <n v="2"/>
    <n v="7517.6"/>
    <s v="Online"/>
    <n v="4"/>
    <n v="2"/>
    <n v="2"/>
    <s v="None"/>
    <s v="Very Sensitive"/>
    <n v="1"/>
    <n v="3"/>
    <s v="None"/>
    <s v="Tablet"/>
    <s v="Cash"/>
    <x v="78"/>
    <b v="1"/>
    <b v="1"/>
    <s v="Wants-based"/>
    <s v="Express"/>
    <n v="2"/>
    <s v="quick buyer"/>
    <s v="&lt;20"/>
  </r>
  <r>
    <s v="12-839-8066"/>
    <n v="20"/>
    <x v="1"/>
    <x v="1"/>
    <s v="Divorced"/>
    <m/>
    <s v="Bachelor's"/>
    <s v="Middle"/>
    <s v="Muaratiga"/>
    <x v="14"/>
    <n v="399.58"/>
    <n v="6"/>
    <n v="10437.69"/>
    <s v="In-Store"/>
    <n v="3"/>
    <n v="4"/>
    <n v="0"/>
    <s v="None"/>
    <s v="Very Sensitive"/>
    <n v="1"/>
    <n v="8"/>
    <s v="Low"/>
    <s v="Tablet"/>
    <s v="Other"/>
    <x v="79"/>
    <b v="1"/>
    <b v="0"/>
    <s v="Need-based"/>
    <s v="Standard"/>
    <n v="7"/>
    <s v="considerable buyer"/>
    <s v="20-29"/>
  </r>
  <r>
    <s v="05-465-8765"/>
    <n v="27"/>
    <x v="0"/>
    <x v="1"/>
    <s v="Widowed"/>
    <m/>
    <s v="High School"/>
    <s v="Middle"/>
    <s v="Gjegjan"/>
    <x v="8"/>
    <n v="380.99"/>
    <n v="7"/>
    <n v="7484.2200000000012"/>
    <s v="Mixed"/>
    <n v="1"/>
    <n v="2"/>
    <n v="1"/>
    <s v="Low"/>
    <s v="Somewhat Sensitive"/>
    <n v="0"/>
    <n v="1"/>
    <s v="Medium"/>
    <s v="Desktop"/>
    <s v="Cash"/>
    <x v="80"/>
    <b v="1"/>
    <b v="1"/>
    <s v="Need-based"/>
    <s v="No Preference"/>
    <n v="8"/>
    <s v="considerable buyer"/>
    <s v="20-29"/>
  </r>
  <r>
    <s v="81-580-3810"/>
    <n v="36"/>
    <x v="1"/>
    <x v="0"/>
    <s v="Married"/>
    <m/>
    <s v="High School"/>
    <s v="High"/>
    <s v="CrÃ©teil"/>
    <x v="1"/>
    <n v="79"/>
    <n v="10"/>
    <n v="7484.2200000000012"/>
    <s v="Online"/>
    <n v="1"/>
    <n v="2"/>
    <n v="1"/>
    <s v="Medium"/>
    <s v="Very Sensitive"/>
    <n v="2"/>
    <n v="6"/>
    <s v="Low"/>
    <s v="Smartphone"/>
    <s v="Cash"/>
    <x v="81"/>
    <b v="0"/>
    <b v="1"/>
    <s v="Planned"/>
    <s v="Standard"/>
    <n v="7"/>
    <s v="considerable buyer"/>
    <s v="30-39"/>
  </r>
  <r>
    <s v="74-353-6312"/>
    <n v="46"/>
    <x v="0"/>
    <x v="0"/>
    <s v="Married"/>
    <m/>
    <s v="Bachelor's"/>
    <s v="Middle"/>
    <s v="Pameungpeuk"/>
    <x v="19"/>
    <n v="113.88"/>
    <n v="2"/>
    <n v="7484.2200000000012"/>
    <s v="Online"/>
    <n v="5"/>
    <n v="2"/>
    <n v="2"/>
    <s v="Medium"/>
    <s v="Not Sensitive"/>
    <n v="2"/>
    <n v="4"/>
    <s v="High"/>
    <s v="Tablet"/>
    <s v="PayPal"/>
    <x v="82"/>
    <b v="0"/>
    <b v="0"/>
    <s v="Wants-based"/>
    <s v="Express"/>
    <n v="9"/>
    <s v="considerable buyer"/>
    <s v="40-49"/>
  </r>
  <r>
    <s v="78-824-1887"/>
    <n v="26"/>
    <x v="1"/>
    <x v="0"/>
    <s v="Married"/>
    <m/>
    <s v="High School"/>
    <s v="Middle"/>
    <s v="Junshan"/>
    <x v="22"/>
    <n v="121.57"/>
    <n v="4"/>
    <n v="7517.6"/>
    <s v="Mixed"/>
    <n v="1"/>
    <n v="5"/>
    <n v="0"/>
    <s v="High"/>
    <s v="Not Sensitive"/>
    <n v="0"/>
    <n v="4"/>
    <s v="High"/>
    <s v="Desktop"/>
    <s v="Other"/>
    <x v="83"/>
    <b v="0"/>
    <b v="1"/>
    <s v="Impulsive"/>
    <s v="No Preference"/>
    <n v="13"/>
    <s v="slow buyer"/>
    <s v="20-29"/>
  </r>
  <r>
    <s v="31-218-0024"/>
    <n v="21"/>
    <x v="0"/>
    <x v="1"/>
    <s v="Divorced"/>
    <m/>
    <s v="High School"/>
    <s v="Middle"/>
    <s v="Lewotola"/>
    <x v="18"/>
    <n v="215.54"/>
    <n v="11"/>
    <n v="7484.2200000000012"/>
    <s v="Online"/>
    <n v="3"/>
    <n v="1"/>
    <n v="2"/>
    <s v="Low"/>
    <s v="Somewhat Sensitive"/>
    <n v="2"/>
    <n v="6"/>
    <s v="High"/>
    <s v="Desktop"/>
    <s v="Credit Card"/>
    <x v="84"/>
    <b v="1"/>
    <b v="1"/>
    <s v="Planned"/>
    <s v="No Preference"/>
    <n v="10"/>
    <s v="considerable buyer"/>
    <s v="20-29"/>
  </r>
  <r>
    <s v="15-711-4107"/>
    <n v="43"/>
    <x v="1"/>
    <x v="1"/>
    <s v="Married"/>
    <m/>
    <s v="Bachelor's"/>
    <s v="High"/>
    <s v="Laocheng"/>
    <x v="4"/>
    <n v="87.03"/>
    <n v="10"/>
    <n v="7517.6"/>
    <s v="Mixed"/>
    <n v="1"/>
    <n v="1"/>
    <n v="0"/>
    <s v="Low"/>
    <s v="Very Sensitive"/>
    <n v="1"/>
    <n v="5"/>
    <s v="High"/>
    <s v="Desktop"/>
    <s v="PayPal"/>
    <x v="85"/>
    <b v="0"/>
    <b v="1"/>
    <s v="Need-based"/>
    <s v="No Preference"/>
    <n v="7"/>
    <s v="considerable buyer"/>
    <s v="40-49"/>
  </r>
  <r>
    <s v="76-672-1193"/>
    <n v="19"/>
    <x v="1"/>
    <x v="1"/>
    <s v="Divorced"/>
    <m/>
    <s v="High School"/>
    <s v="High"/>
    <s v="GuacarÃ­"/>
    <x v="22"/>
    <n v="111.75"/>
    <n v="4"/>
    <n v="10437.69"/>
    <s v="In-Store"/>
    <n v="1"/>
    <n v="4"/>
    <n v="0"/>
    <s v="High"/>
    <s v="Not Sensitive"/>
    <n v="1"/>
    <n v="6"/>
    <s v="High"/>
    <s v="Tablet"/>
    <s v="Debit Card"/>
    <x v="86"/>
    <b v="0"/>
    <b v="1"/>
    <s v="Impulsive"/>
    <s v="Standard"/>
    <n v="8"/>
    <s v="considerable buyer"/>
    <s v="&lt;20"/>
  </r>
  <r>
    <s v="46-503-5589"/>
    <n v="41"/>
    <x v="0"/>
    <x v="1"/>
    <s v="Widowed"/>
    <m/>
    <s v="Master's"/>
    <s v="High"/>
    <s v="Sancang"/>
    <x v="2"/>
    <n v="136.19999999999999"/>
    <n v="2"/>
    <n v="7484.2200000000012"/>
    <s v="Mixed"/>
    <n v="3"/>
    <n v="2"/>
    <n v="2"/>
    <s v="Low"/>
    <s v="Not Sensitive"/>
    <n v="0"/>
    <n v="1"/>
    <s v="High"/>
    <s v="Tablet"/>
    <s v="PayPal"/>
    <x v="87"/>
    <b v="1"/>
    <b v="1"/>
    <s v="Need-based"/>
    <s v="Express"/>
    <n v="9"/>
    <s v="considerable buyer"/>
    <s v="40-49"/>
  </r>
  <r>
    <s v="87-499-6916"/>
    <n v="48"/>
    <x v="1"/>
    <x v="0"/>
    <s v="Married"/>
    <m/>
    <s v="High School"/>
    <s v="Middle"/>
    <s v="Ndewel"/>
    <x v="1"/>
    <n v="439.31"/>
    <n v="4"/>
    <n v="7484.2200000000012"/>
    <s v="In-Store"/>
    <n v="3"/>
    <n v="2"/>
    <n v="1"/>
    <s v="Medium"/>
    <s v="Very Sensitive"/>
    <n v="0"/>
    <n v="6"/>
    <s v="Medium"/>
    <s v="Smartphone"/>
    <s v="Debit Card"/>
    <x v="88"/>
    <b v="0"/>
    <b v="1"/>
    <s v="Wants-based"/>
    <s v="No Preference"/>
    <n v="7"/>
    <s v="considerable buyer"/>
    <s v="40-49"/>
  </r>
  <r>
    <s v="30-520-8656"/>
    <n v="19"/>
    <x v="0"/>
    <x v="0"/>
    <s v="Married"/>
    <s v="#SPILL!"/>
    <s v="Bachelor's"/>
    <s v="Middle"/>
    <s v="San Patricio"/>
    <x v="10"/>
    <n v="194.93"/>
    <n v="9"/>
    <n v="10437.69"/>
    <s v="Online"/>
    <n v="4"/>
    <n v="4"/>
    <n v="1"/>
    <s v="High"/>
    <s v="Somewhat Sensitive"/>
    <n v="0"/>
    <n v="4"/>
    <s v="None"/>
    <s v="Tablet"/>
    <s v="Other"/>
    <x v="89"/>
    <b v="1"/>
    <b v="1"/>
    <s v="Impulsive"/>
    <s v="No Preference"/>
    <n v="5"/>
    <s v="considerable buyer"/>
    <s v="&lt;20"/>
  </r>
  <r>
    <s v="36-323-3504"/>
    <n v="29"/>
    <x v="1"/>
    <x v="0"/>
    <s v="Widowed"/>
    <m/>
    <s v="Master's"/>
    <s v="High"/>
    <s v="Fengtai"/>
    <x v="1"/>
    <n v="377.67"/>
    <n v="8"/>
    <n v="5146.29"/>
    <s v="Online"/>
    <n v="5"/>
    <n v="3"/>
    <n v="0"/>
    <s v="None"/>
    <s v="Very Sensitive"/>
    <n v="2"/>
    <n v="1"/>
    <s v="High"/>
    <s v="Desktop"/>
    <s v="PayPal"/>
    <x v="90"/>
    <b v="1"/>
    <b v="0"/>
    <s v="Need-based"/>
    <s v="No Preference"/>
    <n v="14"/>
    <s v="slow buyer"/>
    <s v="20-29"/>
  </r>
  <r>
    <s v="93-810-4051"/>
    <n v="26"/>
    <x v="6"/>
    <x v="1"/>
    <s v="Single"/>
    <m/>
    <s v="Master's"/>
    <s v="High"/>
    <s v="á¸awrÄn ad Daydah"/>
    <x v="21"/>
    <n v="108.61"/>
    <n v="10"/>
    <n v="7484.2200000000012"/>
    <s v="In-Store"/>
    <n v="3"/>
    <n v="2"/>
    <n v="0"/>
    <s v="None"/>
    <s v="Very Sensitive"/>
    <n v="0"/>
    <n v="3"/>
    <s v="Low"/>
    <s v="Smartphone"/>
    <s v="Cash"/>
    <x v="91"/>
    <b v="1"/>
    <b v="1"/>
    <s v="Need-based"/>
    <s v="No Preference"/>
    <n v="14"/>
    <s v="slow buyer"/>
    <s v="20-29"/>
  </r>
  <r>
    <s v="66-515-3648"/>
    <n v="20"/>
    <x v="0"/>
    <x v="0"/>
    <s v="Married"/>
    <m/>
    <s v="Bachelor's"/>
    <s v="Middle"/>
    <s v="Magdalena"/>
    <x v="10"/>
    <n v="366.77"/>
    <n v="7"/>
    <n v="7517.6"/>
    <s v="Mixed"/>
    <n v="4"/>
    <n v="3"/>
    <n v="2"/>
    <s v="Low"/>
    <s v="Not Sensitive"/>
    <n v="0"/>
    <n v="9"/>
    <s v="None"/>
    <s v="Smartphone"/>
    <s v="Debit Card"/>
    <x v="92"/>
    <b v="0"/>
    <b v="0"/>
    <s v="Impulsive"/>
    <s v="Standard"/>
    <n v="1"/>
    <s v="quick buyer"/>
    <s v="20-29"/>
  </r>
  <r>
    <s v="09-216-1957"/>
    <n v="31"/>
    <x v="0"/>
    <x v="1"/>
    <s v="Divorced"/>
    <m/>
    <s v="Master's"/>
    <s v="Middle"/>
    <s v="LeÅ›nica"/>
    <x v="23"/>
    <n v="178.04"/>
    <n v="5"/>
    <n v="7517.6"/>
    <s v="In-Store"/>
    <n v="5"/>
    <n v="1"/>
    <n v="2"/>
    <s v="Medium"/>
    <s v="Somewhat Sensitive"/>
    <n v="0"/>
    <n v="5"/>
    <s v="High"/>
    <s v="Tablet"/>
    <s v="Credit Card"/>
    <x v="93"/>
    <b v="0"/>
    <b v="0"/>
    <s v="Need-based"/>
    <s v="No Preference"/>
    <n v="12"/>
    <s v="slow buyer"/>
    <s v="30-39"/>
  </r>
  <r>
    <s v="23-253-2565"/>
    <n v="23"/>
    <x v="0"/>
    <x v="1"/>
    <s v="Divorced"/>
    <m/>
    <s v="High School"/>
    <s v="High"/>
    <s v="Hinlayagan Ilaud"/>
    <x v="16"/>
    <n v="461.09"/>
    <n v="8"/>
    <n v="5146.29"/>
    <s v="Online"/>
    <n v="4"/>
    <n v="1"/>
    <n v="0"/>
    <s v="Medium"/>
    <s v="Somewhat Sensitive"/>
    <n v="0"/>
    <n v="4"/>
    <s v="Medium"/>
    <s v="Smartphone"/>
    <s v="Debit Card"/>
    <x v="94"/>
    <b v="1"/>
    <b v="0"/>
    <s v="Need-based"/>
    <s v="No Preference"/>
    <n v="8"/>
    <s v="considerable buyer"/>
    <s v="20-29"/>
  </r>
  <r>
    <s v="74-509-4985"/>
    <n v="19"/>
    <x v="0"/>
    <x v="1"/>
    <s v="Single"/>
    <m/>
    <s v="High School"/>
    <s v="Middle"/>
    <s v="Forshaga"/>
    <x v="11"/>
    <n v="211.16"/>
    <n v="5"/>
    <n v="10437.69"/>
    <s v="In-Store"/>
    <n v="2"/>
    <n v="3"/>
    <n v="1"/>
    <s v="High"/>
    <s v="Very Sensitive"/>
    <n v="0"/>
    <n v="3"/>
    <s v="None"/>
    <s v="Smartphone"/>
    <s v="PayPal"/>
    <x v="95"/>
    <b v="0"/>
    <b v="0"/>
    <s v="Planned"/>
    <s v="Standard"/>
    <n v="2"/>
    <s v="quick buyer"/>
    <s v="&lt;20"/>
  </r>
  <r>
    <s v="05-857-1572"/>
    <n v="23"/>
    <x v="0"/>
    <x v="0"/>
    <s v="Widowed"/>
    <m/>
    <s v="Bachelor's"/>
    <s v="High"/>
    <s v="Rakszawa"/>
    <x v="9"/>
    <n v="421.95"/>
    <n v="8"/>
    <n v="7517.6"/>
    <s v="Mixed"/>
    <n v="3"/>
    <n v="5"/>
    <n v="0"/>
    <s v="Medium"/>
    <s v="Not Sensitive"/>
    <n v="1"/>
    <n v="1"/>
    <s v="None"/>
    <s v="Smartphone"/>
    <s v="Other"/>
    <x v="96"/>
    <b v="0"/>
    <b v="1"/>
    <s v="Need-based"/>
    <s v="No Preference"/>
    <n v="7"/>
    <s v="considerable buyer"/>
    <s v="20-29"/>
  </r>
  <r>
    <s v="26-521-8328"/>
    <n v="49"/>
    <x v="0"/>
    <x v="0"/>
    <s v="Divorced"/>
    <m/>
    <s v="Bachelor's"/>
    <s v="High"/>
    <s v="Fengjiang"/>
    <x v="4"/>
    <n v="378.59"/>
    <n v="5"/>
    <n v="7517.6"/>
    <s v="Online"/>
    <n v="2"/>
    <n v="1"/>
    <n v="0"/>
    <s v="None"/>
    <s v="Somewhat Sensitive"/>
    <n v="0"/>
    <n v="4"/>
    <s v="High"/>
    <s v="Desktop"/>
    <s v="Other"/>
    <x v="97"/>
    <b v="0"/>
    <b v="0"/>
    <s v="Wants-based"/>
    <s v="No Preference"/>
    <n v="14"/>
    <s v="slow buyer"/>
    <s v="40-49"/>
  </r>
  <r>
    <s v="31-147-6197"/>
    <n v="23"/>
    <x v="4"/>
    <x v="1"/>
    <s v="Divorced"/>
    <m/>
    <s v="High School"/>
    <s v="High"/>
    <s v="Jiangcun"/>
    <x v="2"/>
    <n v="268.93"/>
    <n v="2"/>
    <n v="7517.6"/>
    <s v="Mixed"/>
    <n v="5"/>
    <n v="5"/>
    <n v="1"/>
    <s v="Medium"/>
    <s v="Very Sensitive"/>
    <n v="1"/>
    <n v="3"/>
    <s v="None"/>
    <s v="Tablet"/>
    <s v="Debit Card"/>
    <x v="98"/>
    <b v="0"/>
    <b v="0"/>
    <s v="Impulsive"/>
    <s v="Express"/>
    <n v="8"/>
    <s v="considerable buyer"/>
    <s v="20-29"/>
  </r>
  <r>
    <s v="90-093-0469"/>
    <n v="42"/>
    <x v="1"/>
    <x v="0"/>
    <s v="Divorced"/>
    <m/>
    <s v="Bachelor's"/>
    <s v="High"/>
    <s v="ÅŒkuchi"/>
    <x v="10"/>
    <n v="444.87"/>
    <n v="11"/>
    <n v="10437.69"/>
    <s v="Online"/>
    <n v="5"/>
    <n v="4"/>
    <n v="0"/>
    <s v="Medium"/>
    <s v="Not Sensitive"/>
    <n v="1"/>
    <n v="8"/>
    <s v="Low"/>
    <s v="Desktop"/>
    <s v="Other"/>
    <x v="99"/>
    <b v="0"/>
    <b v="0"/>
    <s v="Wants-based"/>
    <s v="No Preference"/>
    <n v="7"/>
    <s v="considerable buyer"/>
    <s v="40-49"/>
  </r>
  <r>
    <s v="38-935-1865"/>
    <n v="18"/>
    <x v="0"/>
    <x v="1"/>
    <s v="Widowed"/>
    <m/>
    <s v="Bachelor's"/>
    <s v="High"/>
    <s v="Novoukrainskiy"/>
    <x v="21"/>
    <n v="160.82"/>
    <n v="7"/>
    <n v="5146.29"/>
    <s v="In-Store"/>
    <n v="3"/>
    <n v="1"/>
    <n v="1"/>
    <s v="High"/>
    <s v="Somewhat Sensitive"/>
    <n v="0"/>
    <n v="1"/>
    <s v="High"/>
    <s v="Smartphone"/>
    <s v="Cash"/>
    <x v="100"/>
    <b v="1"/>
    <b v="1"/>
    <s v="Wants-based"/>
    <s v="No Preference"/>
    <n v="3"/>
    <s v="quick buyer"/>
    <s v="&lt;20"/>
  </r>
  <r>
    <s v="75-953-8663"/>
    <n v="35"/>
    <x v="1"/>
    <x v="1"/>
    <s v="Single"/>
    <m/>
    <s v="Master's"/>
    <s v="Middle"/>
    <s v="Acobambilla"/>
    <x v="11"/>
    <n v="494.18"/>
    <n v="6"/>
    <n v="5146.29"/>
    <s v="Mixed"/>
    <n v="4"/>
    <n v="5"/>
    <n v="1"/>
    <s v="Medium"/>
    <s v="Not Sensitive"/>
    <n v="1"/>
    <n v="2"/>
    <s v="None"/>
    <s v="Desktop"/>
    <s v="Cash"/>
    <x v="101"/>
    <b v="0"/>
    <b v="0"/>
    <s v="Need-based"/>
    <s v="Standard"/>
    <n v="14"/>
    <s v="slow buyer"/>
    <s v="30-39"/>
  </r>
  <r>
    <s v="38-478-2681"/>
    <n v="22"/>
    <x v="1"/>
    <x v="0"/>
    <s v="Single"/>
    <m/>
    <s v="Bachelor's"/>
    <s v="Middle"/>
    <s v="Kyonju"/>
    <x v="3"/>
    <n v="177.05"/>
    <n v="5"/>
    <n v="7484.2200000000012"/>
    <s v="Online"/>
    <n v="3"/>
    <n v="1"/>
    <n v="1"/>
    <s v="None"/>
    <s v="Somewhat Sensitive"/>
    <n v="2"/>
    <n v="1"/>
    <s v="Low"/>
    <s v="Tablet"/>
    <s v="Cash"/>
    <x v="102"/>
    <b v="1"/>
    <b v="1"/>
    <s v="Impulsive"/>
    <s v="Standard"/>
    <n v="1"/>
    <s v="quick buyer"/>
    <s v="20-29"/>
  </r>
  <r>
    <s v="70-895-5298"/>
    <n v="28"/>
    <x v="0"/>
    <x v="0"/>
    <s v="Married"/>
    <m/>
    <s v="Master's"/>
    <s v="High"/>
    <s v="Pomar"/>
    <x v="1"/>
    <n v="450.66"/>
    <n v="7"/>
    <n v="7484.2200000000012"/>
    <s v="In-Store"/>
    <n v="2"/>
    <n v="5"/>
    <n v="0"/>
    <s v="High"/>
    <s v="Somewhat Sensitive"/>
    <n v="2"/>
    <n v="4"/>
    <s v="Medium"/>
    <s v="Tablet"/>
    <s v="Credit Card"/>
    <x v="103"/>
    <b v="0"/>
    <b v="1"/>
    <s v="Need-based"/>
    <s v="No Preference"/>
    <n v="9"/>
    <s v="considerable buyer"/>
    <s v="20-29"/>
  </r>
  <r>
    <s v="02-653-5884"/>
    <n v="42"/>
    <x v="0"/>
    <x v="1"/>
    <s v="Married"/>
    <m/>
    <s v="Bachelor's"/>
    <s v="Middle"/>
    <s v="ZalÅ£an"/>
    <x v="17"/>
    <n v="164.27"/>
    <n v="6"/>
    <n v="10437.69"/>
    <s v="Online"/>
    <n v="5"/>
    <n v="3"/>
    <n v="2"/>
    <s v="High"/>
    <s v="Not Sensitive"/>
    <n v="2"/>
    <n v="7"/>
    <s v="Low"/>
    <s v="Desktop"/>
    <s v="PayPal"/>
    <x v="104"/>
    <b v="1"/>
    <b v="0"/>
    <s v="Wants-based"/>
    <s v="No Preference"/>
    <n v="14"/>
    <s v="slow buyer"/>
    <s v="40-49"/>
  </r>
  <r>
    <s v="11-719-8800"/>
    <n v="37"/>
    <x v="0"/>
    <x v="0"/>
    <s v="Widowed"/>
    <m/>
    <s v="Master's"/>
    <s v="High"/>
    <s v="TrÃ©lazÃ©"/>
    <x v="1"/>
    <n v="346.36"/>
    <n v="12"/>
    <n v="10437.69"/>
    <s v="Mixed"/>
    <n v="4"/>
    <n v="5"/>
    <n v="0"/>
    <s v="Medium"/>
    <s v="Somewhat Sensitive"/>
    <n v="0"/>
    <n v="7"/>
    <s v="Medium"/>
    <s v="Smartphone"/>
    <s v="Credit Card"/>
    <x v="105"/>
    <b v="0"/>
    <b v="0"/>
    <s v="Need-based"/>
    <s v="Standard"/>
    <n v="14"/>
    <s v="slow buyer"/>
    <s v="30-39"/>
  </r>
  <r>
    <s v="59-355-5251"/>
    <n v="33"/>
    <x v="0"/>
    <x v="0"/>
    <s v="Widowed"/>
    <m/>
    <s v="High School"/>
    <s v="High"/>
    <s v="Messina"/>
    <x v="9"/>
    <n v="377.77"/>
    <n v="9"/>
    <n v="10437.69"/>
    <s v="Mixed"/>
    <n v="4"/>
    <n v="2"/>
    <n v="1"/>
    <s v="Medium"/>
    <s v="Not Sensitive"/>
    <n v="1"/>
    <n v="5"/>
    <s v="Medium"/>
    <s v="Tablet"/>
    <s v="Credit Card"/>
    <x v="106"/>
    <b v="1"/>
    <b v="1"/>
    <s v="Impulsive"/>
    <s v="Standard"/>
    <n v="3"/>
    <s v="quick buyer"/>
    <s v="30-39"/>
  </r>
  <r>
    <s v="82-572-9091"/>
    <n v="46"/>
    <x v="0"/>
    <x v="0"/>
    <s v="Widowed"/>
    <m/>
    <s v="High School"/>
    <s v="Middle"/>
    <s v="MrÄ…gowo"/>
    <x v="22"/>
    <n v="163.41"/>
    <n v="2"/>
    <n v="0"/>
    <s v="In-Store"/>
    <n v="5"/>
    <n v="5"/>
    <n v="2"/>
    <s v="Low"/>
    <s v="Not Sensitive"/>
    <n v="1"/>
    <n v="8"/>
    <s v="High"/>
    <s v="Desktop"/>
    <s v="Other"/>
    <x v="107"/>
    <b v="1"/>
    <b v="1"/>
    <s v="Need-based"/>
    <s v="Express"/>
    <n v="4"/>
    <s v="quick buyer"/>
    <s v="40-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2DEA4-6743-43C7-AE6D-1550288D2DC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9"/>
        <item x="17"/>
        <item x="15"/>
        <item x="21"/>
        <item x="5"/>
        <item x="20"/>
        <item x="13"/>
        <item x="1"/>
        <item x="4"/>
        <item x="0"/>
        <item x="19"/>
        <item x="10"/>
        <item x="18"/>
        <item x="3"/>
        <item x="11"/>
        <item x="23"/>
        <item x="8"/>
        <item x="7"/>
        <item x="2"/>
        <item x="12"/>
        <item x="14"/>
        <item x="6"/>
        <item x="16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urchase_Amount" fld="10" subtotal="average" baseField="9" baseItem="0" numFmtId="2"/>
    <dataField name="Sum of Purchase_Amount2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C18B9-DE43-46DB-96C1-7EBDCF5CFFA6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2">
    <pivotField showAll="0"/>
    <pivotField showAll="0"/>
    <pivotField axis="axisRow" showAll="0">
      <items count="8">
        <item x="6"/>
        <item x="2"/>
        <item x="0"/>
        <item x="3"/>
        <item x="1"/>
        <item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1"/>
    </i>
    <i r="1">
      <x v="2"/>
    </i>
    <i r="1">
      <x v="4"/>
    </i>
    <i t="grand">
      <x/>
    </i>
  </rowItems>
  <colItems count="1">
    <i/>
  </colItems>
  <dataFields count="1">
    <dataField name="Average of Purchase_Amount" fld="10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B2CB0-FCFC-4B15-8F94-557BFB20DA38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ge groups" fld="1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3_class (1)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2D126-BA72-4B28-BEF4-71B7E2AC097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:B95" firstHeaderRow="1" firstDataRow="1" firstDataCol="1"/>
  <pivotFields count="2">
    <pivotField axis="axisRow" allDrilled="1" subtotalTop="0" showAll="0" dataSourceSort="1" defaultSubtotal="0" defaultAttributeDrillState="1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dataField="1" subtotalTop="0" showAll="0" defaultSubtotal="0"/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Average of Purchase_Amount" fld="1" subtotal="average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urchase_Amount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0E5D9-6844-4FF9-935F-9B3DF8734F1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9"/>
        <item x="17"/>
        <item x="15"/>
        <item x="21"/>
        <item x="5"/>
        <item x="20"/>
        <item x="13"/>
        <item x="1"/>
        <item x="4"/>
        <item x="0"/>
        <item x="19"/>
        <item x="10"/>
        <item x="18"/>
        <item x="3"/>
        <item x="11"/>
        <item x="23"/>
        <item x="8"/>
        <item x="7"/>
        <item x="2"/>
        <item x="12"/>
        <item x="14"/>
        <item x="6"/>
        <item x="16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Purchase_Amount" fld="10" baseField="9" baseItem="0"/>
  </dataFields>
  <chartFormats count="2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121E2C-897B-4ADC-8BA5-706C2A8167D5}" name="Practice3" displayName="Practice3" ref="A1:AF109" totalsRowShown="0">
  <autoFilter ref="A1:AF109" xr:uid="{83B5EDD6-C4C7-4FAC-8FBA-EDB3DC7EBC67}"/>
  <tableColumns count="32">
    <tableColumn id="1" xr3:uid="{5CFBA823-FD51-4FF2-9283-9FCA2D9987EE}" name="Customer_ID"/>
    <tableColumn id="2" xr3:uid="{17A80F58-565B-4C80-839C-E7A37D61CB9C}" name="Age"/>
    <tableColumn id="3" xr3:uid="{D5454563-A044-4338-898B-8E1BEA94B01A}" name="Gender"/>
    <tableColumn id="4" xr3:uid="{9AC5F05D-9CF5-4D41-A632-9C9B513EE2A2}" name="Income_Level"/>
    <tableColumn id="5" xr3:uid="{A871AB5F-D75B-4AFA-9579-72EADF3E5C47}" name="Marital_Status"/>
    <tableColumn id="31" xr3:uid="{39C98E3A-F4C4-48BB-AA59-29691A3AE1A5}" name="unique" dataDxfId="4">
      <calculatedColumnFormula array="1">_xlfn.UNIQUE(E:E)</calculatedColumnFormula>
    </tableColumn>
    <tableColumn id="6" xr3:uid="{5451829F-4593-4AE6-9526-049F702B6E6E}" name="Education_Level"/>
    <tableColumn id="7" xr3:uid="{E38015E4-02AC-4D61-835F-4508C899AC19}" name="Occupation"/>
    <tableColumn id="8" xr3:uid="{AC89DB83-824D-4DED-A598-5BE4BB6D25C6}" name="Location"/>
    <tableColumn id="9" xr3:uid="{FAE6290E-3F7D-48DD-9A65-281709172E4D}" name="Purchase_Category"/>
    <tableColumn id="10" xr3:uid="{29F7A322-E563-46A6-AD84-EFB22CE158D6}" name="Purchase_Amount"/>
    <tableColumn id="11" xr3:uid="{28570B1A-3188-4D2F-9DE4-C44BBD9829B5}" name="Frequency_of_Purchase"/>
    <tableColumn id="29" xr3:uid="{7ED0D928-B527-4CA2-8AEF-F029D2AE2FBC}" name="Column1" dataDxfId="3">
      <calculatedColumnFormula>SUMIF(E:E,E3,K:K)</calculatedColumnFormula>
    </tableColumn>
    <tableColumn id="12" xr3:uid="{38D6E267-F3DF-4259-9933-607CD8127C1D}" name="Purchase_Channel"/>
    <tableColumn id="13" xr3:uid="{0C046EF5-3C5E-455A-B0C1-CD2BF8343F7E}" name="Brand_Loyalty"/>
    <tableColumn id="14" xr3:uid="{B2CD3AC0-78DC-4022-8EEB-A7FC1DD57AFE}" name="Product_Rating"/>
    <tableColumn id="15" xr3:uid="{D4009C12-7297-4DED-BD36-3F3747247172}" name="Time_Spent_on_Product_Research(hours)"/>
    <tableColumn id="16" xr3:uid="{4AD9ADCB-289B-4BFA-AFD3-2B9D42A4252F}" name="Social_Media_Influence"/>
    <tableColumn id="17" xr3:uid="{5D74D9FA-3B05-4825-BCDA-8535C6F352C4}" name="Discount_Sensitivity"/>
    <tableColumn id="18" xr3:uid="{C5FA9B10-C3D8-4768-8A09-AE03B79E648A}" name="Return_Rate"/>
    <tableColumn id="19" xr3:uid="{C03E3FE6-25C7-4249-AE92-919EF2E40F03}" name="Customer_Satisfaction"/>
    <tableColumn id="20" xr3:uid="{AD80CFFF-AFE8-4571-961B-6937CCDBAD39}" name="Engagement_with_Ads"/>
    <tableColumn id="21" xr3:uid="{5A05D701-24E8-4826-B9C1-3EB3450E6E70}" name="Device_Used_for_Shopping"/>
    <tableColumn id="22" xr3:uid="{C5B6944A-0B3A-49E5-BEC6-EF6456147D62}" name="Payment_Method"/>
    <tableColumn id="23" xr3:uid="{759CCB1F-8FEE-4D7D-8E5F-A6A6F84AAB4C}" name="Time_of_Purchase" dataDxfId="2"/>
    <tableColumn id="24" xr3:uid="{2F444B11-2913-45DD-8CD4-251961FA1A15}" name="Discount_Used"/>
    <tableColumn id="25" xr3:uid="{4710599A-41CE-493E-9240-706DB0A3F317}" name="Customer_Loyalty_Program_Member"/>
    <tableColumn id="26" xr3:uid="{283323B3-4B8A-469F-9C61-27A92EF2C9A3}" name="Purchase_Intent"/>
    <tableColumn id="27" xr3:uid="{BD13ADB1-0AF5-449D-A8A3-0A8835A33463}" name="Shipping_Preference"/>
    <tableColumn id="28" xr3:uid="{3ABFA136-4C22-414E-906A-731A3FFC7C00}" name="Time_to_Decision"/>
    <tableColumn id="30" xr3:uid="{063627E1-8CFC-4807-A0CB-F111D077CD87}" name="customer tenure" dataDxfId="1">
      <calculatedColumnFormula array="1">_xlfn.IFS(Practice3[[#This Row],[Time_to_Decision]]&lt;5,"quick buyer",Practice3[[#This Row],[Time_to_Decision]]&lt;=10,"considerable buyer",TRUE,"slow buyer")</calculatedColumnFormula>
    </tableColumn>
    <tableColumn id="32" xr3:uid="{E00BC8FF-1FD0-4268-B0D0-FF061ACD0F85}" name="Age groups" dataDxfId="0">
      <calculatedColumnFormula array="1">_xlfn.IFS(Practice3[[#This Row],[Age]]&lt;20,"&lt;20",Practice3[[#This Row],[Age]]&lt;=30,"20-29",Practice3[[#This Row],[Age]]&lt;=40,"30-39",Practice3[[#This Row],[Age]]&lt;=50,"40-49",Practice3[[#This Row],[Age]]&lt;=60,"50-59",TRUE,"60+")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EDD6-C4C7-4FAC-8FBA-EDB3DC7EBC67}">
  <dimension ref="A1:AI109"/>
  <sheetViews>
    <sheetView topLeftCell="F1" workbookViewId="0">
      <selection activeCell="G3" sqref="G3"/>
    </sheetView>
  </sheetViews>
  <sheetFormatPr defaultRowHeight="14.5" x14ac:dyDescent="0.35"/>
  <cols>
    <col min="1" max="1" width="13.6328125" customWidth="1"/>
    <col min="3" max="3" width="8.90625" customWidth="1"/>
    <col min="4" max="4" width="14.54296875" bestFit="1" customWidth="1"/>
    <col min="5" max="5" width="14.81640625" customWidth="1"/>
    <col min="6" max="6" width="16.453125" customWidth="1"/>
    <col min="7" max="7" width="16.81640625" bestFit="1" customWidth="1"/>
    <col min="8" max="8" width="12.81640625" bestFit="1" customWidth="1"/>
    <col min="9" max="9" width="18.81640625" customWidth="1"/>
    <col min="10" max="10" width="20" bestFit="1" customWidth="1"/>
    <col min="11" max="11" width="22.7265625" customWidth="1"/>
    <col min="12" max="12" width="23.1796875" bestFit="1" customWidth="1"/>
    <col min="13" max="14" width="18.90625" bestFit="1" customWidth="1"/>
    <col min="15" max="15" width="37.54296875" customWidth="1"/>
    <col min="16" max="16" width="38.36328125" bestFit="1" customWidth="1"/>
    <col min="17" max="17" width="23.1796875" bestFit="1" customWidth="1"/>
    <col min="18" max="18" width="20.453125" bestFit="1" customWidth="1"/>
    <col min="19" max="19" width="21.90625" customWidth="1"/>
    <col min="20" max="20" width="21.453125" customWidth="1"/>
    <col min="21" max="21" width="25.453125" customWidth="1"/>
    <col min="22" max="22" width="17.26953125" customWidth="1"/>
    <col min="23" max="23" width="18" customWidth="1"/>
    <col min="24" max="24" width="15.453125" customWidth="1"/>
    <col min="25" max="25" width="33.08984375" customWidth="1"/>
    <col min="26" max="26" width="16.453125" customWidth="1"/>
    <col min="27" max="27" width="20.1796875" customWidth="1"/>
    <col min="28" max="28" width="17.54296875" customWidth="1"/>
    <col min="29" max="29" width="17.90625" bestFit="1" customWidth="1"/>
    <col min="30" max="31" width="16.90625" bestFit="1" customWidth="1"/>
    <col min="32" max="32" width="12.08984375" bestFit="1" customWidth="1"/>
    <col min="34" max="34" width="12.453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364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365</v>
      </c>
      <c r="AF1" t="s">
        <v>371</v>
      </c>
    </row>
    <row r="2" spans="1:35" x14ac:dyDescent="0.35">
      <c r="A2" t="s">
        <v>28</v>
      </c>
      <c r="B2">
        <v>22</v>
      </c>
      <c r="C2" t="s">
        <v>29</v>
      </c>
      <c r="D2" t="s">
        <v>30</v>
      </c>
      <c r="E2" t="s">
        <v>31</v>
      </c>
      <c r="G2" t="s">
        <v>32</v>
      </c>
      <c r="H2" t="s">
        <v>30</v>
      </c>
      <c r="I2" t="s">
        <v>33</v>
      </c>
      <c r="J2" t="s">
        <v>34</v>
      </c>
      <c r="K2">
        <v>333.8</v>
      </c>
      <c r="L2">
        <v>4</v>
      </c>
      <c r="M2">
        <f t="shared" ref="M2:M33" si="0">SUMIF(E:E,E3,K:K)</f>
        <v>7484.2200000000012</v>
      </c>
      <c r="N2" t="s">
        <v>35</v>
      </c>
      <c r="O2">
        <v>5</v>
      </c>
      <c r="P2">
        <v>5</v>
      </c>
      <c r="Q2">
        <v>2</v>
      </c>
      <c r="R2" t="s">
        <v>36</v>
      </c>
      <c r="S2" t="s">
        <v>37</v>
      </c>
      <c r="T2">
        <v>1</v>
      </c>
      <c r="U2">
        <v>7</v>
      </c>
      <c r="V2" t="s">
        <v>36</v>
      </c>
      <c r="W2" t="s">
        <v>38</v>
      </c>
      <c r="X2" t="s">
        <v>39</v>
      </c>
      <c r="Y2" s="5">
        <v>45352</v>
      </c>
      <c r="Z2" t="b">
        <v>1</v>
      </c>
      <c r="AA2" t="b">
        <v>0</v>
      </c>
      <c r="AB2" t="s">
        <v>40</v>
      </c>
      <c r="AC2" t="s">
        <v>41</v>
      </c>
      <c r="AD2">
        <v>2</v>
      </c>
      <c r="AE2" t="str" cm="1">
        <f t="array" ref="AE2">_xlfn.IFS(Practice3[[#This Row],[Time_to_Decision]]&lt;5,"quick buyer",Practice3[[#This Row],[Time_to_Decision]]&lt;=10,"considerable buyer",TRUE,"slow buyer")</f>
        <v>quick buyer</v>
      </c>
      <c r="AF2" t="str" cm="1">
        <f t="array" ref="AF2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3" spans="1:35" x14ac:dyDescent="0.35">
      <c r="A3" t="s">
        <v>42</v>
      </c>
      <c r="B3">
        <v>49</v>
      </c>
      <c r="C3" t="s">
        <v>43</v>
      </c>
      <c r="D3" t="s">
        <v>44</v>
      </c>
      <c r="E3" t="s">
        <v>31</v>
      </c>
      <c r="G3" t="s">
        <v>45</v>
      </c>
      <c r="H3" t="s">
        <v>44</v>
      </c>
      <c r="I3" t="s">
        <v>46</v>
      </c>
      <c r="J3" t="s">
        <v>47</v>
      </c>
      <c r="K3">
        <v>222.22</v>
      </c>
      <c r="L3">
        <v>11</v>
      </c>
      <c r="M3">
        <f t="shared" si="0"/>
        <v>5146.29</v>
      </c>
      <c r="N3" t="s">
        <v>48</v>
      </c>
      <c r="O3">
        <v>3</v>
      </c>
      <c r="P3">
        <v>1</v>
      </c>
      <c r="Q3">
        <v>2</v>
      </c>
      <c r="R3" t="s">
        <v>49</v>
      </c>
      <c r="S3" t="s">
        <v>50</v>
      </c>
      <c r="T3">
        <v>1</v>
      </c>
      <c r="U3">
        <v>5</v>
      </c>
      <c r="V3" t="s">
        <v>44</v>
      </c>
      <c r="W3" t="s">
        <v>38</v>
      </c>
      <c r="X3" t="s">
        <v>51</v>
      </c>
      <c r="Y3" s="5">
        <v>45353</v>
      </c>
      <c r="Z3" t="b">
        <v>1</v>
      </c>
      <c r="AA3" t="b">
        <v>0</v>
      </c>
      <c r="AB3" t="s">
        <v>53</v>
      </c>
      <c r="AC3" t="s">
        <v>54</v>
      </c>
      <c r="AD3">
        <v>6</v>
      </c>
      <c r="AE3" t="str" cm="1">
        <f t="array" ref="AE3">_xlfn.IFS(Practice3[[#This Row],[Time_to_Decision]]&lt;5,"quick buyer",Practice3[[#This Row],[Time_to_Decision]]&lt;=10,"considerable buyer",TRUE,"slow buyer")</f>
        <v>considerable buyer</v>
      </c>
      <c r="AF3" t="str" cm="1">
        <f t="array" ref="AF3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  <c r="AH3" t="str" cm="1">
        <f t="array" ref="AH3:AH8">_xlfn.UNIQUE(E:E)</f>
        <v>Marital_Status</v>
      </c>
      <c r="AI3" t="str" cm="1">
        <f t="array" ref="AI3:AI9">_xlfn.UNIQUE(M:M)</f>
        <v>Column1</v>
      </c>
    </row>
    <row r="4" spans="1:35" x14ac:dyDescent="0.35">
      <c r="A4" t="s">
        <v>55</v>
      </c>
      <c r="B4">
        <v>24</v>
      </c>
      <c r="C4" t="s">
        <v>29</v>
      </c>
      <c r="D4" t="s">
        <v>30</v>
      </c>
      <c r="E4" t="s">
        <v>56</v>
      </c>
      <c r="G4" t="s">
        <v>57</v>
      </c>
      <c r="H4" t="s">
        <v>44</v>
      </c>
      <c r="I4" t="s">
        <v>58</v>
      </c>
      <c r="J4" t="s">
        <v>59</v>
      </c>
      <c r="K4">
        <v>426.22</v>
      </c>
      <c r="L4">
        <v>2</v>
      </c>
      <c r="M4">
        <f t="shared" si="0"/>
        <v>5146.29</v>
      </c>
      <c r="N4" t="s">
        <v>35</v>
      </c>
      <c r="O4">
        <v>5</v>
      </c>
      <c r="P4">
        <v>5</v>
      </c>
      <c r="Q4">
        <v>0.3</v>
      </c>
      <c r="R4" t="s">
        <v>60</v>
      </c>
      <c r="S4" t="s">
        <v>50</v>
      </c>
      <c r="T4">
        <v>1</v>
      </c>
      <c r="U4">
        <v>7</v>
      </c>
      <c r="V4" t="s">
        <v>60</v>
      </c>
      <c r="W4" t="s">
        <v>61</v>
      </c>
      <c r="X4" t="s">
        <v>62</v>
      </c>
      <c r="Y4" s="5">
        <v>45354</v>
      </c>
      <c r="Z4" t="b">
        <v>1</v>
      </c>
      <c r="AA4" t="b">
        <v>1</v>
      </c>
      <c r="AB4" t="s">
        <v>64</v>
      </c>
      <c r="AC4" t="s">
        <v>41</v>
      </c>
      <c r="AD4">
        <v>3</v>
      </c>
      <c r="AE4" t="str" cm="1">
        <f t="array" ref="AE4">_xlfn.IFS(Practice3[[#This Row],[Time_to_Decision]]&lt;5,"quick buyer",Practice3[[#This Row],[Time_to_Decision]]&lt;=10,"considerable buyer",TRUE,"slow buyer")</f>
        <v>quick buyer</v>
      </c>
      <c r="AF4" t="str" cm="1">
        <f t="array" ref="AF4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  <c r="AH4" t="str">
        <v>Married</v>
      </c>
      <c r="AI4">
        <v>7484.2200000000012</v>
      </c>
    </row>
    <row r="5" spans="1:35" x14ac:dyDescent="0.35">
      <c r="A5" t="s">
        <v>65</v>
      </c>
      <c r="B5">
        <v>29</v>
      </c>
      <c r="C5" t="s">
        <v>29</v>
      </c>
      <c r="D5" t="s">
        <v>30</v>
      </c>
      <c r="E5" t="s">
        <v>56</v>
      </c>
      <c r="G5" t="s">
        <v>57</v>
      </c>
      <c r="H5" t="s">
        <v>30</v>
      </c>
      <c r="I5" t="s">
        <v>66</v>
      </c>
      <c r="J5" t="s">
        <v>67</v>
      </c>
      <c r="K5">
        <v>101.31</v>
      </c>
      <c r="L5">
        <v>6</v>
      </c>
      <c r="M5">
        <f t="shared" si="0"/>
        <v>10437.69</v>
      </c>
      <c r="N5" t="s">
        <v>35</v>
      </c>
      <c r="O5">
        <v>3</v>
      </c>
      <c r="P5">
        <v>1</v>
      </c>
      <c r="Q5">
        <v>1</v>
      </c>
      <c r="R5" t="s">
        <v>44</v>
      </c>
      <c r="S5" t="s">
        <v>37</v>
      </c>
      <c r="T5">
        <v>0</v>
      </c>
      <c r="U5">
        <v>1</v>
      </c>
      <c r="V5" t="s">
        <v>36</v>
      </c>
      <c r="W5" t="s">
        <v>61</v>
      </c>
      <c r="X5" t="s">
        <v>68</v>
      </c>
      <c r="Y5" s="5">
        <v>45355</v>
      </c>
      <c r="Z5" t="b">
        <v>1</v>
      </c>
      <c r="AA5" t="b">
        <v>1</v>
      </c>
      <c r="AB5" t="s">
        <v>40</v>
      </c>
      <c r="AC5" t="s">
        <v>69</v>
      </c>
      <c r="AD5">
        <v>10</v>
      </c>
      <c r="AE5" t="str" cm="1">
        <f t="array" ref="AE5">_xlfn.IFS(Practice3[[#This Row],[Time_to_Decision]]&lt;5,"quick buyer",Practice3[[#This Row],[Time_to_Decision]]&lt;=10,"considerable buyer",TRUE,"slow buyer")</f>
        <v>considerable buyer</v>
      </c>
      <c r="AF5" t="str" cm="1">
        <f t="array" ref="AF5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  <c r="AH5" t="str">
        <v>Single</v>
      </c>
      <c r="AI5">
        <v>5146.29</v>
      </c>
    </row>
    <row r="6" spans="1:35" x14ac:dyDescent="0.35">
      <c r="A6" t="s">
        <v>70</v>
      </c>
      <c r="B6">
        <v>33</v>
      </c>
      <c r="C6" t="s">
        <v>29</v>
      </c>
      <c r="D6" t="s">
        <v>30</v>
      </c>
      <c r="E6" t="s">
        <v>71</v>
      </c>
      <c r="G6" t="s">
        <v>45</v>
      </c>
      <c r="H6" t="s">
        <v>30</v>
      </c>
      <c r="I6" t="s">
        <v>72</v>
      </c>
      <c r="J6" t="s">
        <v>73</v>
      </c>
      <c r="K6">
        <v>211.7</v>
      </c>
      <c r="L6">
        <v>6</v>
      </c>
      <c r="M6">
        <f t="shared" si="0"/>
        <v>7484.2200000000012</v>
      </c>
      <c r="N6" t="s">
        <v>35</v>
      </c>
      <c r="O6">
        <v>3</v>
      </c>
      <c r="P6">
        <v>4</v>
      </c>
      <c r="Q6">
        <v>0</v>
      </c>
      <c r="R6" t="s">
        <v>49</v>
      </c>
      <c r="S6" t="s">
        <v>50</v>
      </c>
      <c r="T6">
        <v>2</v>
      </c>
      <c r="U6">
        <v>10</v>
      </c>
      <c r="V6" t="s">
        <v>36</v>
      </c>
      <c r="W6" t="s">
        <v>61</v>
      </c>
      <c r="X6" t="s">
        <v>62</v>
      </c>
      <c r="Y6" s="5">
        <v>45356</v>
      </c>
      <c r="Z6" t="b">
        <v>0</v>
      </c>
      <c r="AA6" t="b">
        <v>0</v>
      </c>
      <c r="AB6" t="s">
        <v>53</v>
      </c>
      <c r="AC6" t="s">
        <v>41</v>
      </c>
      <c r="AD6">
        <v>4</v>
      </c>
      <c r="AE6" t="str" cm="1">
        <f t="array" ref="AE6">_xlfn.IFS(Practice3[[#This Row],[Time_to_Decision]]&lt;5,"quick buyer",Practice3[[#This Row],[Time_to_Decision]]&lt;=10,"considerable buyer",TRUE,"slow buyer")</f>
        <v>quick buyer</v>
      </c>
      <c r="AF6" t="str" cm="1">
        <f t="array" ref="AF6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  <c r="AH6" t="str">
        <v>Widowed</v>
      </c>
      <c r="AI6">
        <v>10437.69</v>
      </c>
    </row>
    <row r="7" spans="1:35" x14ac:dyDescent="0.35">
      <c r="A7" t="s">
        <v>75</v>
      </c>
      <c r="B7">
        <v>45</v>
      </c>
      <c r="C7" t="s">
        <v>43</v>
      </c>
      <c r="D7" t="s">
        <v>30</v>
      </c>
      <c r="E7" t="s">
        <v>31</v>
      </c>
      <c r="G7" t="s">
        <v>57</v>
      </c>
      <c r="H7" t="s">
        <v>44</v>
      </c>
      <c r="I7" t="s">
        <v>76</v>
      </c>
      <c r="J7" t="s">
        <v>59</v>
      </c>
      <c r="K7">
        <v>487.95</v>
      </c>
      <c r="L7">
        <v>8</v>
      </c>
      <c r="M7">
        <f t="shared" si="0"/>
        <v>7517.6</v>
      </c>
      <c r="N7" t="s">
        <v>35</v>
      </c>
      <c r="O7">
        <v>3</v>
      </c>
      <c r="P7">
        <v>3</v>
      </c>
      <c r="Q7">
        <v>0</v>
      </c>
      <c r="R7" t="s">
        <v>44</v>
      </c>
      <c r="S7" t="s">
        <v>50</v>
      </c>
      <c r="T7">
        <v>2</v>
      </c>
      <c r="U7">
        <v>3</v>
      </c>
      <c r="V7" t="s">
        <v>36</v>
      </c>
      <c r="W7" t="s">
        <v>38</v>
      </c>
      <c r="X7" t="s">
        <v>62</v>
      </c>
      <c r="Y7" s="5">
        <v>45357</v>
      </c>
      <c r="Z7" t="b">
        <v>0</v>
      </c>
      <c r="AA7" t="b">
        <v>0</v>
      </c>
      <c r="AB7" t="s">
        <v>78</v>
      </c>
      <c r="AC7" t="s">
        <v>41</v>
      </c>
      <c r="AD7">
        <v>7</v>
      </c>
      <c r="AE7" t="str" cm="1">
        <f t="array" ref="AE7">_xlfn.IFS(Practice3[[#This Row],[Time_to_Decision]]&lt;5,"quick buyer",Practice3[[#This Row],[Time_to_Decision]]&lt;=10,"considerable buyer",TRUE,"slow buyer")</f>
        <v>considerable buyer</v>
      </c>
      <c r="AF7" t="str" cm="1">
        <f t="array" ref="AF7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  <c r="AH7" t="str">
        <v>Divorced</v>
      </c>
      <c r="AI7">
        <v>7517.6</v>
      </c>
    </row>
    <row r="8" spans="1:35" x14ac:dyDescent="0.35">
      <c r="A8" t="s">
        <v>79</v>
      </c>
      <c r="B8">
        <v>21</v>
      </c>
      <c r="C8" t="s">
        <v>29</v>
      </c>
      <c r="D8" t="s">
        <v>30</v>
      </c>
      <c r="E8" t="s">
        <v>80</v>
      </c>
      <c r="G8" t="s">
        <v>45</v>
      </c>
      <c r="H8" t="s">
        <v>30</v>
      </c>
      <c r="I8" t="s">
        <v>81</v>
      </c>
      <c r="J8" t="s">
        <v>73</v>
      </c>
      <c r="K8">
        <v>486.4</v>
      </c>
      <c r="L8">
        <v>12</v>
      </c>
      <c r="M8">
        <f t="shared" si="0"/>
        <v>5146.29</v>
      </c>
      <c r="N8" t="s">
        <v>82</v>
      </c>
      <c r="O8">
        <v>2</v>
      </c>
      <c r="P8">
        <v>5</v>
      </c>
      <c r="Q8">
        <v>1</v>
      </c>
      <c r="R8" t="s">
        <v>44</v>
      </c>
      <c r="S8" t="s">
        <v>37</v>
      </c>
      <c r="T8">
        <v>0</v>
      </c>
      <c r="U8">
        <v>9</v>
      </c>
      <c r="V8" t="s">
        <v>60</v>
      </c>
      <c r="W8" t="s">
        <v>83</v>
      </c>
      <c r="X8" t="s">
        <v>62</v>
      </c>
      <c r="Y8" s="5">
        <v>45358</v>
      </c>
      <c r="Z8" t="b">
        <v>1</v>
      </c>
      <c r="AA8" t="b">
        <v>0</v>
      </c>
      <c r="AB8" t="s">
        <v>40</v>
      </c>
      <c r="AC8" t="s">
        <v>69</v>
      </c>
      <c r="AD8">
        <v>13</v>
      </c>
      <c r="AE8" t="str" cm="1">
        <f t="array" ref="AE8">_xlfn.IFS(Practice3[[#This Row],[Time_to_Decision]]&lt;5,"quick buyer",Practice3[[#This Row],[Time_to_Decision]]&lt;=10,"considerable buyer",TRUE,"slow buyer")</f>
        <v>slow buyer</v>
      </c>
      <c r="AF8" t="str" cm="1">
        <f t="array" ref="AF8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  <c r="AH8">
        <v>0</v>
      </c>
      <c r="AI8">
        <v>0</v>
      </c>
    </row>
    <row r="9" spans="1:35" x14ac:dyDescent="0.35">
      <c r="A9" t="s">
        <v>84</v>
      </c>
      <c r="B9">
        <v>39</v>
      </c>
      <c r="C9" t="s">
        <v>43</v>
      </c>
      <c r="D9" t="s">
        <v>30</v>
      </c>
      <c r="E9" t="s">
        <v>56</v>
      </c>
      <c r="G9" t="s">
        <v>45</v>
      </c>
      <c r="H9" t="s">
        <v>30</v>
      </c>
      <c r="I9" t="s">
        <v>85</v>
      </c>
      <c r="J9" t="s">
        <v>86</v>
      </c>
      <c r="K9">
        <v>218.06</v>
      </c>
      <c r="L9">
        <v>6</v>
      </c>
      <c r="M9">
        <f t="shared" si="0"/>
        <v>7517.6</v>
      </c>
      <c r="N9" t="s">
        <v>82</v>
      </c>
      <c r="O9">
        <v>5</v>
      </c>
      <c r="P9">
        <v>4</v>
      </c>
      <c r="Q9">
        <v>1</v>
      </c>
      <c r="R9" t="s">
        <v>60</v>
      </c>
      <c r="S9" t="s">
        <v>37</v>
      </c>
      <c r="T9">
        <v>2</v>
      </c>
      <c r="U9">
        <v>9</v>
      </c>
      <c r="V9" t="s">
        <v>36</v>
      </c>
      <c r="W9" t="s">
        <v>83</v>
      </c>
      <c r="X9" t="s">
        <v>39</v>
      </c>
      <c r="Y9" s="5">
        <v>45359</v>
      </c>
      <c r="Z9" t="b">
        <v>0</v>
      </c>
      <c r="AA9" t="b">
        <v>1</v>
      </c>
      <c r="AB9" t="s">
        <v>64</v>
      </c>
      <c r="AC9" t="s">
        <v>41</v>
      </c>
      <c r="AD9">
        <v>13</v>
      </c>
      <c r="AE9" t="str" cm="1">
        <f t="array" ref="AE9">_xlfn.IFS(Practice3[[#This Row],[Time_to_Decision]]&lt;5,"quick buyer",Practice3[[#This Row],[Time_to_Decision]]&lt;=10,"considerable buyer",TRUE,"slow buyer")</f>
        <v>slow buyer</v>
      </c>
      <c r="AF9" t="str" cm="1">
        <f t="array" ref="AF9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  <c r="AI9">
        <v>0</v>
      </c>
    </row>
    <row r="10" spans="1:35" x14ac:dyDescent="0.35">
      <c r="A10" t="s">
        <v>88</v>
      </c>
      <c r="B10">
        <v>24</v>
      </c>
      <c r="C10" t="s">
        <v>29</v>
      </c>
      <c r="D10" t="s">
        <v>44</v>
      </c>
      <c r="E10" t="s">
        <v>80</v>
      </c>
      <c r="G10" t="s">
        <v>57</v>
      </c>
      <c r="H10" t="s">
        <v>30</v>
      </c>
      <c r="I10" t="s">
        <v>89</v>
      </c>
      <c r="J10" t="s">
        <v>59</v>
      </c>
      <c r="K10">
        <v>201.96</v>
      </c>
      <c r="L10">
        <v>8</v>
      </c>
      <c r="M10">
        <f t="shared" si="0"/>
        <v>7484.2200000000012</v>
      </c>
      <c r="N10" t="s">
        <v>48</v>
      </c>
      <c r="O10">
        <v>3</v>
      </c>
      <c r="P10">
        <v>5</v>
      </c>
      <c r="Q10">
        <v>0</v>
      </c>
      <c r="R10" t="s">
        <v>60</v>
      </c>
      <c r="S10" t="s">
        <v>90</v>
      </c>
      <c r="T10">
        <v>1</v>
      </c>
      <c r="U10">
        <v>2</v>
      </c>
      <c r="V10" t="s">
        <v>44</v>
      </c>
      <c r="W10" t="s">
        <v>83</v>
      </c>
      <c r="X10" t="s">
        <v>91</v>
      </c>
      <c r="Y10" s="5">
        <v>45360</v>
      </c>
      <c r="Z10" t="b">
        <v>0</v>
      </c>
      <c r="AA10" t="b">
        <v>0</v>
      </c>
      <c r="AB10" t="s">
        <v>40</v>
      </c>
      <c r="AC10" t="s">
        <v>54</v>
      </c>
      <c r="AD10">
        <v>7</v>
      </c>
      <c r="AE10" t="str" cm="1">
        <f t="array" ref="AE10">_xlfn.IFS(Practice3[[#This Row],[Time_to_Decision]]&lt;5,"quick buyer",Practice3[[#This Row],[Time_to_Decision]]&lt;=10,"considerable buyer",TRUE,"slow buyer")</f>
        <v>considerable buyer</v>
      </c>
      <c r="AF10" t="str" cm="1">
        <f t="array" ref="AF10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11" spans="1:35" x14ac:dyDescent="0.35">
      <c r="A11" t="s">
        <v>92</v>
      </c>
      <c r="B11">
        <v>25</v>
      </c>
      <c r="C11" t="s">
        <v>93</v>
      </c>
      <c r="D11" t="s">
        <v>44</v>
      </c>
      <c r="E11" t="s">
        <v>31</v>
      </c>
      <c r="G11" t="s">
        <v>32</v>
      </c>
      <c r="H11" t="s">
        <v>44</v>
      </c>
      <c r="I11" t="s">
        <v>94</v>
      </c>
      <c r="J11" t="s">
        <v>95</v>
      </c>
      <c r="K11">
        <v>418.83</v>
      </c>
      <c r="L11">
        <v>7</v>
      </c>
      <c r="M11">
        <f t="shared" si="0"/>
        <v>7517.6</v>
      </c>
      <c r="N11" t="s">
        <v>82</v>
      </c>
      <c r="O11">
        <v>2</v>
      </c>
      <c r="P11">
        <v>5</v>
      </c>
      <c r="Q11">
        <v>1</v>
      </c>
      <c r="R11" t="s">
        <v>36</v>
      </c>
      <c r="S11" t="s">
        <v>37</v>
      </c>
      <c r="T11">
        <v>1</v>
      </c>
      <c r="U11">
        <v>5</v>
      </c>
      <c r="V11" t="s">
        <v>49</v>
      </c>
      <c r="W11" t="s">
        <v>38</v>
      </c>
      <c r="X11" t="s">
        <v>51</v>
      </c>
      <c r="Y11" s="5">
        <v>45361</v>
      </c>
      <c r="Z11" t="b">
        <v>1</v>
      </c>
      <c r="AA11" t="b">
        <v>0</v>
      </c>
      <c r="AB11" t="s">
        <v>40</v>
      </c>
      <c r="AC11" t="s">
        <v>41</v>
      </c>
      <c r="AD11">
        <v>13</v>
      </c>
      <c r="AE11" t="str" cm="1">
        <f t="array" ref="AE11">_xlfn.IFS(Practice3[[#This Row],[Time_to_Decision]]&lt;5,"quick buyer",Practice3[[#This Row],[Time_to_Decision]]&lt;=10,"considerable buyer",TRUE,"slow buyer")</f>
        <v>slow buyer</v>
      </c>
      <c r="AF11" t="str" cm="1">
        <f t="array" ref="AF11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12" spans="1:35" x14ac:dyDescent="0.35">
      <c r="A12" t="s">
        <v>96</v>
      </c>
      <c r="B12">
        <v>33</v>
      </c>
      <c r="C12" t="s">
        <v>43</v>
      </c>
      <c r="D12" t="s">
        <v>30</v>
      </c>
      <c r="E12" t="s">
        <v>80</v>
      </c>
      <c r="G12" t="s">
        <v>32</v>
      </c>
      <c r="H12" t="s">
        <v>30</v>
      </c>
      <c r="I12" t="s">
        <v>97</v>
      </c>
      <c r="J12" t="s">
        <v>98</v>
      </c>
      <c r="K12">
        <v>389.7</v>
      </c>
      <c r="L12">
        <v>12</v>
      </c>
      <c r="M12">
        <f t="shared" si="0"/>
        <v>10437.69</v>
      </c>
      <c r="N12" t="s">
        <v>48</v>
      </c>
      <c r="O12">
        <v>1</v>
      </c>
      <c r="P12">
        <v>4</v>
      </c>
      <c r="Q12">
        <v>0.5</v>
      </c>
      <c r="R12" t="s">
        <v>60</v>
      </c>
      <c r="S12" t="s">
        <v>50</v>
      </c>
      <c r="T12">
        <v>0</v>
      </c>
      <c r="U12">
        <v>4</v>
      </c>
      <c r="V12" t="s">
        <v>44</v>
      </c>
      <c r="W12" t="s">
        <v>83</v>
      </c>
      <c r="X12" t="s">
        <v>51</v>
      </c>
      <c r="Y12" s="5">
        <v>45362</v>
      </c>
      <c r="Z12" t="b">
        <v>1</v>
      </c>
      <c r="AA12" t="b">
        <v>0</v>
      </c>
      <c r="AB12" t="s">
        <v>78</v>
      </c>
      <c r="AC12" t="s">
        <v>69</v>
      </c>
      <c r="AD12">
        <v>12</v>
      </c>
      <c r="AE12" t="str" cm="1">
        <f t="array" ref="AE12">_xlfn.IFS(Practice3[[#This Row],[Time_to_Decision]]&lt;5,"quick buyer",Practice3[[#This Row],[Time_to_Decision]]&lt;=10,"considerable buyer",TRUE,"slow buyer")</f>
        <v>slow buyer</v>
      </c>
      <c r="AF12" t="str" cm="1">
        <f t="array" ref="AF12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3" spans="1:35" x14ac:dyDescent="0.35">
      <c r="A13" t="s">
        <v>99</v>
      </c>
      <c r="B13">
        <v>38</v>
      </c>
      <c r="C13" t="s">
        <v>29</v>
      </c>
      <c r="D13" t="s">
        <v>44</v>
      </c>
      <c r="E13" t="s">
        <v>71</v>
      </c>
      <c r="G13" t="s">
        <v>32</v>
      </c>
      <c r="H13" t="s">
        <v>30</v>
      </c>
      <c r="I13" t="s">
        <v>100</v>
      </c>
      <c r="J13" t="s">
        <v>95</v>
      </c>
      <c r="K13">
        <v>238.93</v>
      </c>
      <c r="L13">
        <v>5</v>
      </c>
      <c r="M13">
        <f t="shared" si="0"/>
        <v>5146.29</v>
      </c>
      <c r="N13" t="s">
        <v>82</v>
      </c>
      <c r="O13">
        <v>4</v>
      </c>
      <c r="P13">
        <v>3</v>
      </c>
      <c r="Q13">
        <v>1</v>
      </c>
      <c r="R13" t="s">
        <v>49</v>
      </c>
      <c r="S13" t="s">
        <v>90</v>
      </c>
      <c r="T13">
        <v>0</v>
      </c>
      <c r="U13">
        <v>10</v>
      </c>
      <c r="V13" t="s">
        <v>44</v>
      </c>
      <c r="W13" t="s">
        <v>38</v>
      </c>
      <c r="X13" t="s">
        <v>91</v>
      </c>
      <c r="Y13" s="5">
        <v>45363</v>
      </c>
      <c r="Z13" t="b">
        <v>1</v>
      </c>
      <c r="AA13" t="b">
        <v>0</v>
      </c>
      <c r="AB13" t="s">
        <v>78</v>
      </c>
      <c r="AC13" t="s">
        <v>41</v>
      </c>
      <c r="AD13">
        <v>1</v>
      </c>
      <c r="AE13" t="str" cm="1">
        <f t="array" ref="AE13">_xlfn.IFS(Practice3[[#This Row],[Time_to_Decision]]&lt;5,"quick buyer",Practice3[[#This Row],[Time_to_Decision]]&lt;=10,"considerable buyer",TRUE,"slow buyer")</f>
        <v>quick buyer</v>
      </c>
      <c r="AF13" t="str" cm="1">
        <f t="array" ref="AF13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4" spans="1:35" x14ac:dyDescent="0.35">
      <c r="A14" t="s">
        <v>102</v>
      </c>
      <c r="B14">
        <v>34</v>
      </c>
      <c r="C14" t="s">
        <v>43</v>
      </c>
      <c r="D14" t="s">
        <v>30</v>
      </c>
      <c r="E14" t="s">
        <v>56</v>
      </c>
      <c r="G14" t="s">
        <v>32</v>
      </c>
      <c r="H14" t="s">
        <v>44</v>
      </c>
      <c r="I14" t="s">
        <v>103</v>
      </c>
      <c r="J14" t="s">
        <v>104</v>
      </c>
      <c r="K14">
        <v>61.22</v>
      </c>
      <c r="L14">
        <v>7</v>
      </c>
      <c r="M14">
        <f t="shared" si="0"/>
        <v>7484.2200000000012</v>
      </c>
      <c r="N14" t="s">
        <v>48</v>
      </c>
      <c r="O14">
        <v>5</v>
      </c>
      <c r="P14">
        <v>2</v>
      </c>
      <c r="Q14">
        <v>2</v>
      </c>
      <c r="R14" t="s">
        <v>60</v>
      </c>
      <c r="S14" t="s">
        <v>90</v>
      </c>
      <c r="T14">
        <v>1</v>
      </c>
      <c r="U14">
        <v>7</v>
      </c>
      <c r="V14" t="s">
        <v>44</v>
      </c>
      <c r="W14" t="s">
        <v>83</v>
      </c>
      <c r="X14" t="s">
        <v>62</v>
      </c>
      <c r="Y14" s="5">
        <v>45364</v>
      </c>
      <c r="Z14" t="b">
        <v>1</v>
      </c>
      <c r="AA14" t="b">
        <v>1</v>
      </c>
      <c r="AB14" t="s">
        <v>40</v>
      </c>
      <c r="AC14" t="s">
        <v>41</v>
      </c>
      <c r="AD14">
        <v>5</v>
      </c>
      <c r="AE14" t="str" cm="1">
        <f t="array" ref="AE14">_xlfn.IFS(Practice3[[#This Row],[Time_to_Decision]]&lt;5,"quick buyer",Practice3[[#This Row],[Time_to_Decision]]&lt;=10,"considerable buyer",TRUE,"slow buyer")</f>
        <v>considerable buyer</v>
      </c>
      <c r="AF14" t="str" cm="1">
        <f t="array" ref="AF14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5" spans="1:35" x14ac:dyDescent="0.35">
      <c r="A15" t="s">
        <v>105</v>
      </c>
      <c r="B15">
        <v>32</v>
      </c>
      <c r="C15" t="s">
        <v>43</v>
      </c>
      <c r="D15" t="s">
        <v>44</v>
      </c>
      <c r="E15" t="s">
        <v>31</v>
      </c>
      <c r="G15" t="s">
        <v>45</v>
      </c>
      <c r="H15" t="s">
        <v>30</v>
      </c>
      <c r="I15" t="s">
        <v>106</v>
      </c>
      <c r="J15" t="s">
        <v>107</v>
      </c>
      <c r="K15">
        <v>79.81</v>
      </c>
      <c r="L15">
        <v>4</v>
      </c>
      <c r="M15">
        <f t="shared" si="0"/>
        <v>10437.69</v>
      </c>
      <c r="N15" t="s">
        <v>35</v>
      </c>
      <c r="O15">
        <v>5</v>
      </c>
      <c r="P15">
        <v>5</v>
      </c>
      <c r="Q15">
        <v>0</v>
      </c>
      <c r="R15" t="s">
        <v>44</v>
      </c>
      <c r="S15" t="s">
        <v>50</v>
      </c>
      <c r="T15">
        <v>0</v>
      </c>
      <c r="U15">
        <v>9</v>
      </c>
      <c r="V15" t="s">
        <v>44</v>
      </c>
      <c r="W15" t="s">
        <v>61</v>
      </c>
      <c r="X15" t="s">
        <v>62</v>
      </c>
      <c r="Y15" s="5">
        <v>45365</v>
      </c>
      <c r="Z15" t="b">
        <v>0</v>
      </c>
      <c r="AA15" t="b">
        <v>1</v>
      </c>
      <c r="AB15" t="s">
        <v>53</v>
      </c>
      <c r="AC15" t="s">
        <v>54</v>
      </c>
      <c r="AD15">
        <v>14</v>
      </c>
      <c r="AE15" t="str" cm="1">
        <f t="array" ref="AE15">_xlfn.IFS(Practice3[[#This Row],[Time_to_Decision]]&lt;5,"quick buyer",Practice3[[#This Row],[Time_to_Decision]]&lt;=10,"considerable buyer",TRUE,"slow buyer")</f>
        <v>slow buyer</v>
      </c>
      <c r="AF15" t="str" cm="1">
        <f t="array" ref="AF15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6" spans="1:35" x14ac:dyDescent="0.35">
      <c r="A16" t="s">
        <v>109</v>
      </c>
      <c r="B16">
        <v>30</v>
      </c>
      <c r="C16" t="s">
        <v>29</v>
      </c>
      <c r="D16" t="s">
        <v>44</v>
      </c>
      <c r="E16" t="s">
        <v>71</v>
      </c>
      <c r="G16" t="s">
        <v>45</v>
      </c>
      <c r="H16" t="s">
        <v>44</v>
      </c>
      <c r="I16" t="s">
        <v>110</v>
      </c>
      <c r="J16" t="s">
        <v>111</v>
      </c>
      <c r="K16">
        <v>58.51</v>
      </c>
      <c r="L16">
        <v>2</v>
      </c>
      <c r="M16">
        <f t="shared" si="0"/>
        <v>7517.6</v>
      </c>
      <c r="N16" t="s">
        <v>82</v>
      </c>
      <c r="O16">
        <v>4</v>
      </c>
      <c r="P16">
        <v>4</v>
      </c>
      <c r="Q16">
        <v>0.5</v>
      </c>
      <c r="R16" t="s">
        <v>36</v>
      </c>
      <c r="S16" t="s">
        <v>50</v>
      </c>
      <c r="T16">
        <v>0</v>
      </c>
      <c r="U16">
        <v>4</v>
      </c>
      <c r="V16" t="s">
        <v>49</v>
      </c>
      <c r="W16" t="s">
        <v>83</v>
      </c>
      <c r="X16" t="s">
        <v>51</v>
      </c>
      <c r="Y16" s="5">
        <v>45366</v>
      </c>
      <c r="Z16" t="b">
        <v>1</v>
      </c>
      <c r="AA16" t="b">
        <v>1</v>
      </c>
      <c r="AB16" t="s">
        <v>78</v>
      </c>
      <c r="AC16" t="s">
        <v>41</v>
      </c>
      <c r="AD16">
        <v>14</v>
      </c>
      <c r="AE16" t="str" cm="1">
        <f t="array" ref="AE16">_xlfn.IFS(Practice3[[#This Row],[Time_to_Decision]]&lt;5,"quick buyer",Practice3[[#This Row],[Time_to_Decision]]&lt;=10,"considerable buyer",TRUE,"slow buyer")</f>
        <v>slow buyer</v>
      </c>
      <c r="AF16" t="str" cm="1">
        <f t="array" ref="AF16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17" spans="1:32" x14ac:dyDescent="0.35">
      <c r="A17" t="s">
        <v>113</v>
      </c>
      <c r="B17">
        <v>40</v>
      </c>
      <c r="C17" t="s">
        <v>43</v>
      </c>
      <c r="D17" t="s">
        <v>44</v>
      </c>
      <c r="E17" t="s">
        <v>80</v>
      </c>
      <c r="G17" t="s">
        <v>57</v>
      </c>
      <c r="H17" t="s">
        <v>44</v>
      </c>
      <c r="I17" t="s">
        <v>114</v>
      </c>
      <c r="J17" t="s">
        <v>115</v>
      </c>
      <c r="K17">
        <v>109.29</v>
      </c>
      <c r="L17">
        <v>3</v>
      </c>
      <c r="M17">
        <f t="shared" si="0"/>
        <v>5146.29</v>
      </c>
      <c r="N17" t="s">
        <v>82</v>
      </c>
      <c r="O17">
        <v>3</v>
      </c>
      <c r="P17">
        <v>4</v>
      </c>
      <c r="Q17">
        <v>0</v>
      </c>
      <c r="R17" t="s">
        <v>49</v>
      </c>
      <c r="S17" t="s">
        <v>37</v>
      </c>
      <c r="T17">
        <v>2</v>
      </c>
      <c r="U17">
        <v>2</v>
      </c>
      <c r="V17" t="s">
        <v>44</v>
      </c>
      <c r="W17" t="s">
        <v>83</v>
      </c>
      <c r="X17" t="s">
        <v>62</v>
      </c>
      <c r="Y17" s="5">
        <v>45367</v>
      </c>
      <c r="Z17" t="b">
        <v>0</v>
      </c>
      <c r="AA17" t="b">
        <v>1</v>
      </c>
      <c r="AB17" t="s">
        <v>53</v>
      </c>
      <c r="AC17" t="s">
        <v>69</v>
      </c>
      <c r="AD17">
        <v>11</v>
      </c>
      <c r="AE17" t="str" cm="1">
        <f t="array" ref="AE17">_xlfn.IFS(Practice3[[#This Row],[Time_to_Decision]]&lt;5,"quick buyer",Practice3[[#This Row],[Time_to_Decision]]&lt;=10,"considerable buyer",TRUE,"slow buyer")</f>
        <v>slow buyer</v>
      </c>
      <c r="AF17" t="str" cm="1">
        <f t="array" ref="AF17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8" spans="1:32" x14ac:dyDescent="0.35">
      <c r="A18" t="s">
        <v>116</v>
      </c>
      <c r="B18">
        <v>37</v>
      </c>
      <c r="C18" t="s">
        <v>43</v>
      </c>
      <c r="D18" t="s">
        <v>44</v>
      </c>
      <c r="E18" t="s">
        <v>56</v>
      </c>
      <c r="G18" t="s">
        <v>32</v>
      </c>
      <c r="H18" t="s">
        <v>44</v>
      </c>
      <c r="I18" t="s">
        <v>117</v>
      </c>
      <c r="J18" t="s">
        <v>73</v>
      </c>
      <c r="K18">
        <v>356.45</v>
      </c>
      <c r="L18">
        <v>6</v>
      </c>
      <c r="M18">
        <f t="shared" si="0"/>
        <v>7517.6</v>
      </c>
      <c r="N18" t="s">
        <v>35</v>
      </c>
      <c r="O18">
        <v>5</v>
      </c>
      <c r="P18">
        <v>5</v>
      </c>
      <c r="Q18">
        <v>2</v>
      </c>
      <c r="R18" t="s">
        <v>60</v>
      </c>
      <c r="S18" t="s">
        <v>90</v>
      </c>
      <c r="T18">
        <v>0</v>
      </c>
      <c r="U18">
        <v>7</v>
      </c>
      <c r="V18" t="s">
        <v>49</v>
      </c>
      <c r="W18" t="s">
        <v>61</v>
      </c>
      <c r="X18" t="s">
        <v>39</v>
      </c>
      <c r="Y18" s="5">
        <v>45368</v>
      </c>
      <c r="Z18" t="b">
        <v>0</v>
      </c>
      <c r="AA18" t="b">
        <v>1</v>
      </c>
      <c r="AB18" t="s">
        <v>78</v>
      </c>
      <c r="AC18" t="s">
        <v>54</v>
      </c>
      <c r="AD18">
        <v>8</v>
      </c>
      <c r="AE18" t="str" cm="1">
        <f t="array" ref="AE18">_xlfn.IFS(Practice3[[#This Row],[Time_to_Decision]]&lt;5,"quick buyer",Practice3[[#This Row],[Time_to_Decision]]&lt;=10,"considerable buyer",TRUE,"slow buyer")</f>
        <v>considerable buyer</v>
      </c>
      <c r="AF18" t="str" cm="1">
        <f t="array" ref="AF18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9" spans="1:32" x14ac:dyDescent="0.35">
      <c r="A19" t="s">
        <v>119</v>
      </c>
      <c r="B19">
        <v>38</v>
      </c>
      <c r="C19" t="s">
        <v>29</v>
      </c>
      <c r="D19" t="s">
        <v>30</v>
      </c>
      <c r="E19" t="s">
        <v>80</v>
      </c>
      <c r="G19" t="s">
        <v>32</v>
      </c>
      <c r="H19" t="s">
        <v>44</v>
      </c>
      <c r="I19" t="s">
        <v>120</v>
      </c>
      <c r="J19" t="s">
        <v>98</v>
      </c>
      <c r="K19">
        <v>236.99</v>
      </c>
      <c r="L19">
        <v>10</v>
      </c>
      <c r="M19">
        <f t="shared" si="0"/>
        <v>10437.69</v>
      </c>
      <c r="N19" t="s">
        <v>35</v>
      </c>
      <c r="O19">
        <v>2</v>
      </c>
      <c r="P19">
        <v>4</v>
      </c>
      <c r="Q19">
        <v>0</v>
      </c>
      <c r="R19" t="s">
        <v>44</v>
      </c>
      <c r="S19" t="s">
        <v>90</v>
      </c>
      <c r="T19">
        <v>0</v>
      </c>
      <c r="U19">
        <v>8</v>
      </c>
      <c r="V19" t="s">
        <v>36</v>
      </c>
      <c r="W19" t="s">
        <v>38</v>
      </c>
      <c r="X19" t="s">
        <v>51</v>
      </c>
      <c r="Y19" s="5">
        <v>45369</v>
      </c>
      <c r="Z19" t="b">
        <v>1</v>
      </c>
      <c r="AA19" t="b">
        <v>1</v>
      </c>
      <c r="AB19" t="s">
        <v>64</v>
      </c>
      <c r="AC19" t="s">
        <v>41</v>
      </c>
      <c r="AD19">
        <v>13</v>
      </c>
      <c r="AE19" t="str" cm="1">
        <f t="array" ref="AE19">_xlfn.IFS(Practice3[[#This Row],[Time_to_Decision]]&lt;5,"quick buyer",Practice3[[#This Row],[Time_to_Decision]]&lt;=10,"considerable buyer",TRUE,"slow buyer")</f>
        <v>slow buyer</v>
      </c>
      <c r="AF19" t="str" cm="1">
        <f t="array" ref="AF19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0" spans="1:32" x14ac:dyDescent="0.35">
      <c r="A20" t="s">
        <v>121</v>
      </c>
      <c r="B20">
        <v>36</v>
      </c>
      <c r="C20" t="s">
        <v>43</v>
      </c>
      <c r="D20" t="s">
        <v>30</v>
      </c>
      <c r="E20" t="s">
        <v>71</v>
      </c>
      <c r="G20" t="s">
        <v>32</v>
      </c>
      <c r="H20" t="s">
        <v>44</v>
      </c>
      <c r="I20" t="s">
        <v>122</v>
      </c>
      <c r="J20" t="s">
        <v>123</v>
      </c>
      <c r="K20">
        <v>454.39</v>
      </c>
      <c r="L20">
        <v>10</v>
      </c>
      <c r="M20">
        <f t="shared" si="0"/>
        <v>10437.69</v>
      </c>
      <c r="N20" t="s">
        <v>48</v>
      </c>
      <c r="O20">
        <v>2</v>
      </c>
      <c r="P20">
        <v>4</v>
      </c>
      <c r="Q20">
        <v>2</v>
      </c>
      <c r="R20" t="s">
        <v>49</v>
      </c>
      <c r="S20" t="s">
        <v>50</v>
      </c>
      <c r="T20">
        <v>0</v>
      </c>
      <c r="U20">
        <v>3</v>
      </c>
      <c r="V20" t="s">
        <v>36</v>
      </c>
      <c r="W20" t="s">
        <v>83</v>
      </c>
      <c r="X20" t="s">
        <v>68</v>
      </c>
      <c r="Y20" s="5">
        <v>45370</v>
      </c>
      <c r="Z20" t="b">
        <v>0</v>
      </c>
      <c r="AA20" t="b">
        <v>1</v>
      </c>
      <c r="AB20" t="s">
        <v>64</v>
      </c>
      <c r="AC20" t="s">
        <v>54</v>
      </c>
      <c r="AD20">
        <v>3</v>
      </c>
      <c r="AE20" t="str" cm="1">
        <f t="array" ref="AE20">_xlfn.IFS(Practice3[[#This Row],[Time_to_Decision]]&lt;5,"quick buyer",Practice3[[#This Row],[Time_to_Decision]]&lt;=10,"considerable buyer",TRUE,"slow buyer")</f>
        <v>quick buyer</v>
      </c>
      <c r="AF20" t="str" cm="1">
        <f t="array" ref="AF20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1" spans="1:32" x14ac:dyDescent="0.35">
      <c r="A21" t="s">
        <v>125</v>
      </c>
      <c r="B21">
        <v>29</v>
      </c>
      <c r="C21" t="s">
        <v>29</v>
      </c>
      <c r="D21" t="s">
        <v>44</v>
      </c>
      <c r="E21" t="s">
        <v>71</v>
      </c>
      <c r="G21" t="s">
        <v>32</v>
      </c>
      <c r="H21" t="s">
        <v>30</v>
      </c>
      <c r="I21" t="s">
        <v>126</v>
      </c>
      <c r="J21" t="s">
        <v>127</v>
      </c>
      <c r="K21">
        <v>490.75</v>
      </c>
      <c r="L21">
        <v>10</v>
      </c>
      <c r="M21">
        <f t="shared" si="0"/>
        <v>10437.69</v>
      </c>
      <c r="N21" t="s">
        <v>48</v>
      </c>
      <c r="O21">
        <v>2</v>
      </c>
      <c r="P21">
        <v>4</v>
      </c>
      <c r="Q21">
        <v>1</v>
      </c>
      <c r="R21" t="s">
        <v>36</v>
      </c>
      <c r="S21" t="s">
        <v>90</v>
      </c>
      <c r="T21">
        <v>1</v>
      </c>
      <c r="U21">
        <v>4</v>
      </c>
      <c r="V21" t="s">
        <v>60</v>
      </c>
      <c r="W21" t="s">
        <v>61</v>
      </c>
      <c r="X21" t="s">
        <v>62</v>
      </c>
      <c r="Y21" s="5">
        <v>45371</v>
      </c>
      <c r="Z21" t="b">
        <v>0</v>
      </c>
      <c r="AA21" t="b">
        <v>0</v>
      </c>
      <c r="AB21" t="s">
        <v>53</v>
      </c>
      <c r="AC21" t="s">
        <v>54</v>
      </c>
      <c r="AD21">
        <v>13</v>
      </c>
      <c r="AE21" t="str" cm="1">
        <f t="array" ref="AE21">_xlfn.IFS(Practice3[[#This Row],[Time_to_Decision]]&lt;5,"quick buyer",Practice3[[#This Row],[Time_to_Decision]]&lt;=10,"considerable buyer",TRUE,"slow buyer")</f>
        <v>slow buyer</v>
      </c>
      <c r="AF21" t="str" cm="1">
        <f t="array" ref="AF21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22" spans="1:32" x14ac:dyDescent="0.35">
      <c r="A22" t="s">
        <v>128</v>
      </c>
      <c r="B22">
        <v>21</v>
      </c>
      <c r="C22" t="s">
        <v>29</v>
      </c>
      <c r="D22" t="s">
        <v>30</v>
      </c>
      <c r="E22" t="s">
        <v>71</v>
      </c>
      <c r="G22" t="s">
        <v>45</v>
      </c>
      <c r="H22" t="s">
        <v>30</v>
      </c>
      <c r="I22" t="s">
        <v>129</v>
      </c>
      <c r="J22" t="s">
        <v>130</v>
      </c>
      <c r="K22">
        <v>463.07</v>
      </c>
      <c r="L22">
        <v>7</v>
      </c>
      <c r="M22">
        <f t="shared" si="0"/>
        <v>7484.2200000000012</v>
      </c>
      <c r="N22" t="s">
        <v>35</v>
      </c>
      <c r="O22">
        <v>4</v>
      </c>
      <c r="P22">
        <v>2</v>
      </c>
      <c r="Q22">
        <v>0</v>
      </c>
      <c r="R22" t="s">
        <v>36</v>
      </c>
      <c r="S22" t="s">
        <v>90</v>
      </c>
      <c r="T22">
        <v>1</v>
      </c>
      <c r="U22">
        <v>2</v>
      </c>
      <c r="V22" t="s">
        <v>49</v>
      </c>
      <c r="W22" t="s">
        <v>61</v>
      </c>
      <c r="X22" t="s">
        <v>51</v>
      </c>
      <c r="Y22" s="5">
        <v>45372</v>
      </c>
      <c r="Z22" t="b">
        <v>1</v>
      </c>
      <c r="AA22" t="b">
        <v>0</v>
      </c>
      <c r="AB22" t="s">
        <v>53</v>
      </c>
      <c r="AC22" t="s">
        <v>41</v>
      </c>
      <c r="AD22">
        <v>11</v>
      </c>
      <c r="AE22" t="str" cm="1">
        <f t="array" ref="AE22">_xlfn.IFS(Practice3[[#This Row],[Time_to_Decision]]&lt;5,"quick buyer",Practice3[[#This Row],[Time_to_Decision]]&lt;=10,"considerable buyer",TRUE,"slow buyer")</f>
        <v>slow buyer</v>
      </c>
      <c r="AF22" t="str" cm="1">
        <f t="array" ref="AF22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23" spans="1:32" x14ac:dyDescent="0.35">
      <c r="A23" t="s">
        <v>131</v>
      </c>
      <c r="B23">
        <v>36</v>
      </c>
      <c r="C23" t="s">
        <v>29</v>
      </c>
      <c r="D23" t="s">
        <v>44</v>
      </c>
      <c r="E23" t="s">
        <v>31</v>
      </c>
      <c r="G23" t="s">
        <v>57</v>
      </c>
      <c r="H23" t="s">
        <v>44</v>
      </c>
      <c r="I23" t="s">
        <v>132</v>
      </c>
      <c r="J23" t="s">
        <v>133</v>
      </c>
      <c r="K23">
        <v>56.74</v>
      </c>
      <c r="L23">
        <v>5</v>
      </c>
      <c r="M23">
        <f t="shared" si="0"/>
        <v>7517.6</v>
      </c>
      <c r="N23" t="s">
        <v>82</v>
      </c>
      <c r="O23">
        <v>5</v>
      </c>
      <c r="P23">
        <v>1</v>
      </c>
      <c r="Q23">
        <v>0</v>
      </c>
      <c r="R23" t="s">
        <v>49</v>
      </c>
      <c r="S23" t="s">
        <v>90</v>
      </c>
      <c r="T23">
        <v>0</v>
      </c>
      <c r="U23">
        <v>6</v>
      </c>
      <c r="V23" t="s">
        <v>36</v>
      </c>
      <c r="W23" t="s">
        <v>61</v>
      </c>
      <c r="X23" t="s">
        <v>68</v>
      </c>
      <c r="Y23" s="5">
        <v>45373</v>
      </c>
      <c r="Z23" t="b">
        <v>1</v>
      </c>
      <c r="AA23" t="b">
        <v>0</v>
      </c>
      <c r="AB23" t="s">
        <v>64</v>
      </c>
      <c r="AC23" t="s">
        <v>69</v>
      </c>
      <c r="AD23">
        <v>7</v>
      </c>
      <c r="AE23" t="str" cm="1">
        <f t="array" ref="AE23">_xlfn.IFS(Practice3[[#This Row],[Time_to_Decision]]&lt;5,"quick buyer",Practice3[[#This Row],[Time_to_Decision]]&lt;=10,"considerable buyer",TRUE,"slow buyer")</f>
        <v>considerable buyer</v>
      </c>
      <c r="AF23" t="str" cm="1">
        <f t="array" ref="AF23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4" spans="1:32" x14ac:dyDescent="0.35">
      <c r="A24" t="s">
        <v>135</v>
      </c>
      <c r="B24">
        <v>38</v>
      </c>
      <c r="C24" t="s">
        <v>43</v>
      </c>
      <c r="D24" t="s">
        <v>44</v>
      </c>
      <c r="E24" t="s">
        <v>80</v>
      </c>
      <c r="G24" t="s">
        <v>32</v>
      </c>
      <c r="H24" t="s">
        <v>30</v>
      </c>
      <c r="I24" t="s">
        <v>136</v>
      </c>
      <c r="J24" t="s">
        <v>137</v>
      </c>
      <c r="K24">
        <v>371.32</v>
      </c>
      <c r="L24">
        <v>7</v>
      </c>
      <c r="M24">
        <f t="shared" si="0"/>
        <v>5146.29</v>
      </c>
      <c r="N24" t="s">
        <v>48</v>
      </c>
      <c r="O24">
        <v>4</v>
      </c>
      <c r="P24">
        <v>4</v>
      </c>
      <c r="Q24">
        <v>0.7</v>
      </c>
      <c r="R24" t="s">
        <v>49</v>
      </c>
      <c r="S24" t="s">
        <v>50</v>
      </c>
      <c r="T24">
        <v>2</v>
      </c>
      <c r="U24">
        <v>1</v>
      </c>
      <c r="V24" t="s">
        <v>36</v>
      </c>
      <c r="W24" t="s">
        <v>38</v>
      </c>
      <c r="X24" t="s">
        <v>62</v>
      </c>
      <c r="Y24" s="5">
        <v>45374</v>
      </c>
      <c r="Z24" t="b">
        <v>1</v>
      </c>
      <c r="AA24" t="b">
        <v>1</v>
      </c>
      <c r="AB24" t="s">
        <v>64</v>
      </c>
      <c r="AC24" t="s">
        <v>54</v>
      </c>
      <c r="AD24">
        <v>6</v>
      </c>
      <c r="AE24" t="str" cm="1">
        <f t="array" ref="AE24">_xlfn.IFS(Practice3[[#This Row],[Time_to_Decision]]&lt;5,"quick buyer",Practice3[[#This Row],[Time_to_Decision]]&lt;=10,"considerable buyer",TRUE,"slow buyer")</f>
        <v>considerable buyer</v>
      </c>
      <c r="AF24" t="str" cm="1">
        <f t="array" ref="AF24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5" spans="1:32" x14ac:dyDescent="0.35">
      <c r="A25" t="s">
        <v>139</v>
      </c>
      <c r="B25">
        <v>37</v>
      </c>
      <c r="C25" t="s">
        <v>29</v>
      </c>
      <c r="D25" t="s">
        <v>30</v>
      </c>
      <c r="E25" t="s">
        <v>56</v>
      </c>
      <c r="G25" t="s">
        <v>32</v>
      </c>
      <c r="H25" t="s">
        <v>30</v>
      </c>
      <c r="I25" t="s">
        <v>140</v>
      </c>
      <c r="J25" t="s">
        <v>130</v>
      </c>
      <c r="K25">
        <v>461</v>
      </c>
      <c r="L25">
        <v>7</v>
      </c>
      <c r="M25">
        <f t="shared" si="0"/>
        <v>7484.2200000000012</v>
      </c>
      <c r="N25" t="s">
        <v>82</v>
      </c>
      <c r="O25">
        <v>2</v>
      </c>
      <c r="P25">
        <v>4</v>
      </c>
      <c r="Q25">
        <v>1</v>
      </c>
      <c r="R25" t="s">
        <v>44</v>
      </c>
      <c r="S25" t="s">
        <v>50</v>
      </c>
      <c r="T25">
        <v>0</v>
      </c>
      <c r="U25">
        <v>8</v>
      </c>
      <c r="V25" t="s">
        <v>60</v>
      </c>
      <c r="W25" t="s">
        <v>38</v>
      </c>
      <c r="X25" t="s">
        <v>91</v>
      </c>
      <c r="Y25" s="5">
        <v>45375</v>
      </c>
      <c r="Z25" t="b">
        <v>0</v>
      </c>
      <c r="AA25" t="b">
        <v>1</v>
      </c>
      <c r="AB25" t="s">
        <v>53</v>
      </c>
      <c r="AC25" t="s">
        <v>54</v>
      </c>
      <c r="AD25">
        <v>9</v>
      </c>
      <c r="AE25" t="str" cm="1">
        <f t="array" ref="AE25">_xlfn.IFS(Practice3[[#This Row],[Time_to_Decision]]&lt;5,"quick buyer",Practice3[[#This Row],[Time_to_Decision]]&lt;=10,"considerable buyer",TRUE,"slow buyer")</f>
        <v>considerable buyer</v>
      </c>
      <c r="AF25" t="str" cm="1">
        <f t="array" ref="AF25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6" spans="1:32" x14ac:dyDescent="0.35">
      <c r="A26" t="s">
        <v>141</v>
      </c>
      <c r="B26">
        <v>33</v>
      </c>
      <c r="C26" t="s">
        <v>29</v>
      </c>
      <c r="D26" t="s">
        <v>44</v>
      </c>
      <c r="E26" t="s">
        <v>31</v>
      </c>
      <c r="G26" t="s">
        <v>32</v>
      </c>
      <c r="H26" t="s">
        <v>44</v>
      </c>
      <c r="I26" t="s">
        <v>142</v>
      </c>
      <c r="J26" t="s">
        <v>47</v>
      </c>
      <c r="K26">
        <v>253.37</v>
      </c>
      <c r="L26">
        <v>6</v>
      </c>
      <c r="M26">
        <f t="shared" si="0"/>
        <v>10437.69</v>
      </c>
      <c r="N26" t="s">
        <v>48</v>
      </c>
      <c r="O26">
        <v>4</v>
      </c>
      <c r="P26">
        <v>1</v>
      </c>
      <c r="Q26">
        <v>1</v>
      </c>
      <c r="R26" t="s">
        <v>36</v>
      </c>
      <c r="S26" t="s">
        <v>90</v>
      </c>
      <c r="T26">
        <v>2</v>
      </c>
      <c r="U26">
        <v>10</v>
      </c>
      <c r="V26" t="s">
        <v>44</v>
      </c>
      <c r="W26" t="s">
        <v>38</v>
      </c>
      <c r="X26" t="s">
        <v>68</v>
      </c>
      <c r="Y26" s="5">
        <v>45376</v>
      </c>
      <c r="Z26" t="b">
        <v>1</v>
      </c>
      <c r="AA26" t="b">
        <v>0</v>
      </c>
      <c r="AB26" t="s">
        <v>64</v>
      </c>
      <c r="AC26" t="s">
        <v>54</v>
      </c>
      <c r="AD26">
        <v>8</v>
      </c>
      <c r="AE26" t="str" cm="1">
        <f t="array" ref="AE26">_xlfn.IFS(Practice3[[#This Row],[Time_to_Decision]]&lt;5,"quick buyer",Practice3[[#This Row],[Time_to_Decision]]&lt;=10,"considerable buyer",TRUE,"slow buyer")</f>
        <v>considerable buyer</v>
      </c>
      <c r="AF26" t="str" cm="1">
        <f t="array" ref="AF26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7" spans="1:32" x14ac:dyDescent="0.35">
      <c r="A27" t="s">
        <v>144</v>
      </c>
      <c r="B27">
        <v>37</v>
      </c>
      <c r="C27" t="s">
        <v>43</v>
      </c>
      <c r="D27" t="s">
        <v>44</v>
      </c>
      <c r="E27" t="s">
        <v>71</v>
      </c>
      <c r="G27" t="s">
        <v>45</v>
      </c>
      <c r="H27" t="s">
        <v>44</v>
      </c>
      <c r="I27" t="s">
        <v>145</v>
      </c>
      <c r="J27" t="s">
        <v>123</v>
      </c>
      <c r="K27">
        <v>136.53</v>
      </c>
      <c r="L27">
        <v>3</v>
      </c>
      <c r="M27">
        <f t="shared" si="0"/>
        <v>5146.29</v>
      </c>
      <c r="N27" t="s">
        <v>35</v>
      </c>
      <c r="O27">
        <v>2</v>
      </c>
      <c r="P27">
        <v>4</v>
      </c>
      <c r="Q27">
        <v>2</v>
      </c>
      <c r="R27" t="s">
        <v>44</v>
      </c>
      <c r="S27" t="s">
        <v>50</v>
      </c>
      <c r="T27">
        <v>1</v>
      </c>
      <c r="U27">
        <v>3</v>
      </c>
      <c r="V27" t="s">
        <v>44</v>
      </c>
      <c r="W27" t="s">
        <v>61</v>
      </c>
      <c r="X27" t="s">
        <v>51</v>
      </c>
      <c r="Y27" s="5">
        <v>45377</v>
      </c>
      <c r="Z27" t="b">
        <v>1</v>
      </c>
      <c r="AA27" t="b">
        <v>1</v>
      </c>
      <c r="AB27" t="s">
        <v>78</v>
      </c>
      <c r="AC27" t="s">
        <v>54</v>
      </c>
      <c r="AD27">
        <v>10</v>
      </c>
      <c r="AE27" t="str" cm="1">
        <f t="array" ref="AE27">_xlfn.IFS(Practice3[[#This Row],[Time_to_Decision]]&lt;5,"quick buyer",Practice3[[#This Row],[Time_to_Decision]]&lt;=10,"considerable buyer",TRUE,"slow buyer")</f>
        <v>considerable buyer</v>
      </c>
      <c r="AF27" t="str" cm="1">
        <f t="array" ref="AF27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8" spans="1:32" x14ac:dyDescent="0.35">
      <c r="A28" t="s">
        <v>147</v>
      </c>
      <c r="B28">
        <v>31</v>
      </c>
      <c r="C28" t="s">
        <v>29</v>
      </c>
      <c r="D28" t="s">
        <v>30</v>
      </c>
      <c r="E28" t="s">
        <v>56</v>
      </c>
      <c r="G28" t="s">
        <v>57</v>
      </c>
      <c r="H28" t="s">
        <v>30</v>
      </c>
      <c r="I28" t="s">
        <v>148</v>
      </c>
      <c r="J28" t="s">
        <v>149</v>
      </c>
      <c r="K28">
        <v>489.05</v>
      </c>
      <c r="L28">
        <v>10</v>
      </c>
      <c r="M28">
        <f t="shared" si="0"/>
        <v>5146.29</v>
      </c>
      <c r="N28" t="s">
        <v>82</v>
      </c>
      <c r="O28">
        <v>5</v>
      </c>
      <c r="P28">
        <v>3</v>
      </c>
      <c r="Q28">
        <v>0</v>
      </c>
      <c r="R28" t="s">
        <v>44</v>
      </c>
      <c r="S28" t="s">
        <v>37</v>
      </c>
      <c r="T28">
        <v>2</v>
      </c>
      <c r="U28">
        <v>2</v>
      </c>
      <c r="V28" t="s">
        <v>44</v>
      </c>
      <c r="W28" t="s">
        <v>83</v>
      </c>
      <c r="X28" t="s">
        <v>51</v>
      </c>
      <c r="Y28" s="5">
        <v>45378</v>
      </c>
      <c r="Z28" t="b">
        <v>1</v>
      </c>
      <c r="AA28" t="b">
        <v>1</v>
      </c>
      <c r="AB28" t="s">
        <v>78</v>
      </c>
      <c r="AC28" t="s">
        <v>54</v>
      </c>
      <c r="AD28">
        <v>7</v>
      </c>
      <c r="AE28" t="str" cm="1">
        <f t="array" ref="AE28">_xlfn.IFS(Practice3[[#This Row],[Time_to_Decision]]&lt;5,"quick buyer",Practice3[[#This Row],[Time_to_Decision]]&lt;=10,"considerable buyer",TRUE,"slow buyer")</f>
        <v>considerable buyer</v>
      </c>
      <c r="AF28" t="str" cm="1">
        <f t="array" ref="AF28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29" spans="1:32" x14ac:dyDescent="0.35">
      <c r="A29" t="s">
        <v>150</v>
      </c>
      <c r="B29">
        <v>50</v>
      </c>
      <c r="C29" t="s">
        <v>43</v>
      </c>
      <c r="D29" t="s">
        <v>44</v>
      </c>
      <c r="E29" t="s">
        <v>56</v>
      </c>
      <c r="G29" t="s">
        <v>57</v>
      </c>
      <c r="H29" t="s">
        <v>44</v>
      </c>
      <c r="I29" t="s">
        <v>151</v>
      </c>
      <c r="J29" t="s">
        <v>127</v>
      </c>
      <c r="K29">
        <v>81.91</v>
      </c>
      <c r="L29">
        <v>10</v>
      </c>
      <c r="M29">
        <f t="shared" si="0"/>
        <v>7484.2200000000012</v>
      </c>
      <c r="N29" t="s">
        <v>48</v>
      </c>
      <c r="O29">
        <v>3</v>
      </c>
      <c r="P29">
        <v>4</v>
      </c>
      <c r="Q29">
        <v>1</v>
      </c>
      <c r="R29" t="s">
        <v>49</v>
      </c>
      <c r="S29" t="s">
        <v>90</v>
      </c>
      <c r="T29">
        <v>0</v>
      </c>
      <c r="U29">
        <v>4</v>
      </c>
      <c r="V29" t="s">
        <v>36</v>
      </c>
      <c r="W29" t="s">
        <v>83</v>
      </c>
      <c r="X29" t="s">
        <v>62</v>
      </c>
      <c r="Y29" s="5">
        <v>45379</v>
      </c>
      <c r="Z29" t="b">
        <v>0</v>
      </c>
      <c r="AA29" t="b">
        <v>1</v>
      </c>
      <c r="AB29" t="s">
        <v>40</v>
      </c>
      <c r="AC29" t="s">
        <v>69</v>
      </c>
      <c r="AD29">
        <v>2</v>
      </c>
      <c r="AE29" t="str" cm="1">
        <f t="array" ref="AE29">_xlfn.IFS(Practice3[[#This Row],[Time_to_Decision]]&lt;5,"quick buyer",Practice3[[#This Row],[Time_to_Decision]]&lt;=10,"considerable buyer",TRUE,"slow buyer")</f>
        <v>quick buyer</v>
      </c>
      <c r="AF29" t="str" cm="1">
        <f t="array" ref="AF29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30" spans="1:32" x14ac:dyDescent="0.35">
      <c r="A30" t="s">
        <v>153</v>
      </c>
      <c r="B30">
        <v>50</v>
      </c>
      <c r="C30" t="s">
        <v>43</v>
      </c>
      <c r="D30" t="s">
        <v>30</v>
      </c>
      <c r="E30" t="s">
        <v>31</v>
      </c>
      <c r="G30" t="s">
        <v>32</v>
      </c>
      <c r="H30" t="s">
        <v>30</v>
      </c>
      <c r="I30" t="s">
        <v>154</v>
      </c>
      <c r="J30" t="s">
        <v>149</v>
      </c>
      <c r="K30">
        <v>135.80000000000001</v>
      </c>
      <c r="L30">
        <v>2</v>
      </c>
      <c r="M30">
        <f t="shared" si="0"/>
        <v>10437.69</v>
      </c>
      <c r="N30" t="s">
        <v>48</v>
      </c>
      <c r="O30">
        <v>2</v>
      </c>
      <c r="P30">
        <v>5</v>
      </c>
      <c r="Q30">
        <v>1</v>
      </c>
      <c r="R30" t="s">
        <v>60</v>
      </c>
      <c r="S30" t="s">
        <v>37</v>
      </c>
      <c r="T30">
        <v>1</v>
      </c>
      <c r="U30">
        <v>2</v>
      </c>
      <c r="V30" t="s">
        <v>44</v>
      </c>
      <c r="W30" t="s">
        <v>83</v>
      </c>
      <c r="X30" t="s">
        <v>62</v>
      </c>
      <c r="Y30" s="5">
        <v>45380</v>
      </c>
      <c r="Z30" t="b">
        <v>0</v>
      </c>
      <c r="AA30" t="b">
        <v>1</v>
      </c>
      <c r="AB30" t="s">
        <v>78</v>
      </c>
      <c r="AC30" t="s">
        <v>41</v>
      </c>
      <c r="AD30">
        <v>9</v>
      </c>
      <c r="AE30" t="str" cm="1">
        <f t="array" ref="AE30">_xlfn.IFS(Practice3[[#This Row],[Time_to_Decision]]&lt;5,"quick buyer",Practice3[[#This Row],[Time_to_Decision]]&lt;=10,"considerable buyer",TRUE,"slow buyer")</f>
        <v>considerable buyer</v>
      </c>
      <c r="AF30" t="str" cm="1">
        <f t="array" ref="AF30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31" spans="1:32" x14ac:dyDescent="0.35">
      <c r="A31" t="s">
        <v>156</v>
      </c>
      <c r="B31">
        <v>45</v>
      </c>
      <c r="C31" t="s">
        <v>29</v>
      </c>
      <c r="D31" t="s">
        <v>30</v>
      </c>
      <c r="E31" t="s">
        <v>71</v>
      </c>
      <c r="G31" t="s">
        <v>45</v>
      </c>
      <c r="H31" t="s">
        <v>30</v>
      </c>
      <c r="I31" t="s">
        <v>157</v>
      </c>
      <c r="J31" t="s">
        <v>158</v>
      </c>
      <c r="K31">
        <v>382.24</v>
      </c>
      <c r="L31">
        <v>12</v>
      </c>
      <c r="M31">
        <f t="shared" si="0"/>
        <v>7484.2200000000012</v>
      </c>
      <c r="N31" t="s">
        <v>48</v>
      </c>
      <c r="O31">
        <v>1</v>
      </c>
      <c r="P31">
        <v>5</v>
      </c>
      <c r="Q31">
        <v>1</v>
      </c>
      <c r="R31" t="s">
        <v>44</v>
      </c>
      <c r="S31" t="s">
        <v>90</v>
      </c>
      <c r="T31">
        <v>1</v>
      </c>
      <c r="U31">
        <v>4</v>
      </c>
      <c r="V31" t="s">
        <v>44</v>
      </c>
      <c r="W31" t="s">
        <v>38</v>
      </c>
      <c r="X31" t="s">
        <v>51</v>
      </c>
      <c r="Y31" s="5">
        <v>45381</v>
      </c>
      <c r="Z31" t="b">
        <v>1</v>
      </c>
      <c r="AA31" t="b">
        <v>1</v>
      </c>
      <c r="AB31" t="s">
        <v>78</v>
      </c>
      <c r="AC31" t="s">
        <v>54</v>
      </c>
      <c r="AD31">
        <v>3</v>
      </c>
      <c r="AE31" t="str" cm="1">
        <f t="array" ref="AE31">_xlfn.IFS(Practice3[[#This Row],[Time_to_Decision]]&lt;5,"quick buyer",Practice3[[#This Row],[Time_to_Decision]]&lt;=10,"considerable buyer",TRUE,"slow buyer")</f>
        <v>quick buyer</v>
      </c>
      <c r="AF31" t="str" cm="1">
        <f t="array" ref="AF31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32" spans="1:32" x14ac:dyDescent="0.35">
      <c r="A32" t="s">
        <v>159</v>
      </c>
      <c r="B32">
        <v>33</v>
      </c>
      <c r="C32" t="s">
        <v>29</v>
      </c>
      <c r="D32" t="s">
        <v>44</v>
      </c>
      <c r="E32" t="s">
        <v>31</v>
      </c>
      <c r="G32" t="s">
        <v>32</v>
      </c>
      <c r="H32" t="s">
        <v>30</v>
      </c>
      <c r="I32" t="s">
        <v>160</v>
      </c>
      <c r="J32" t="s">
        <v>34</v>
      </c>
      <c r="K32">
        <v>354.7</v>
      </c>
      <c r="L32">
        <v>5</v>
      </c>
      <c r="M32">
        <f t="shared" si="0"/>
        <v>7517.6</v>
      </c>
      <c r="N32" t="s">
        <v>82</v>
      </c>
      <c r="O32">
        <v>4</v>
      </c>
      <c r="P32">
        <v>2</v>
      </c>
      <c r="Q32">
        <v>0</v>
      </c>
      <c r="R32" t="s">
        <v>36</v>
      </c>
      <c r="S32" t="s">
        <v>90</v>
      </c>
      <c r="T32">
        <v>2</v>
      </c>
      <c r="U32">
        <v>7</v>
      </c>
      <c r="V32" t="s">
        <v>36</v>
      </c>
      <c r="W32" t="s">
        <v>61</v>
      </c>
      <c r="X32" t="s">
        <v>68</v>
      </c>
      <c r="Y32" s="5">
        <v>45382</v>
      </c>
      <c r="Z32" t="b">
        <v>1</v>
      </c>
      <c r="AA32" t="b">
        <v>0</v>
      </c>
      <c r="AB32" t="s">
        <v>78</v>
      </c>
      <c r="AC32" t="s">
        <v>69</v>
      </c>
      <c r="AD32">
        <v>12</v>
      </c>
      <c r="AE32" t="str" cm="1">
        <f t="array" ref="AE32">_xlfn.IFS(Practice3[[#This Row],[Time_to_Decision]]&lt;5,"quick buyer",Practice3[[#This Row],[Time_to_Decision]]&lt;=10,"considerable buyer",TRUE,"slow buyer")</f>
        <v>slow buyer</v>
      </c>
      <c r="AF32" t="str" cm="1">
        <f t="array" ref="AF32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33" spans="1:32" x14ac:dyDescent="0.35">
      <c r="A33" t="s">
        <v>161</v>
      </c>
      <c r="B33">
        <v>24</v>
      </c>
      <c r="C33" t="s">
        <v>43</v>
      </c>
      <c r="D33" t="s">
        <v>44</v>
      </c>
      <c r="E33" t="s">
        <v>80</v>
      </c>
      <c r="G33" t="s">
        <v>32</v>
      </c>
      <c r="H33" t="s">
        <v>44</v>
      </c>
      <c r="I33" t="s">
        <v>162</v>
      </c>
      <c r="J33" t="s">
        <v>98</v>
      </c>
      <c r="K33">
        <v>433.82</v>
      </c>
      <c r="L33">
        <v>6</v>
      </c>
      <c r="M33">
        <f t="shared" si="0"/>
        <v>7484.2200000000012</v>
      </c>
      <c r="N33" t="s">
        <v>82</v>
      </c>
      <c r="O33">
        <v>3</v>
      </c>
      <c r="P33">
        <v>2</v>
      </c>
      <c r="Q33">
        <v>1</v>
      </c>
      <c r="R33" t="s">
        <v>49</v>
      </c>
      <c r="S33" t="s">
        <v>37</v>
      </c>
      <c r="T33">
        <v>0</v>
      </c>
      <c r="U33">
        <v>8</v>
      </c>
      <c r="V33" t="s">
        <v>49</v>
      </c>
      <c r="W33" t="s">
        <v>83</v>
      </c>
      <c r="X33" t="s">
        <v>68</v>
      </c>
      <c r="Y33" s="5">
        <v>45383</v>
      </c>
      <c r="Z33" t="b">
        <v>0</v>
      </c>
      <c r="AA33" t="b">
        <v>1</v>
      </c>
      <c r="AB33" t="s">
        <v>78</v>
      </c>
      <c r="AC33" t="s">
        <v>69</v>
      </c>
      <c r="AD33">
        <v>10</v>
      </c>
      <c r="AE33" t="str" cm="1">
        <f t="array" ref="AE33">_xlfn.IFS(Practice3[[#This Row],[Time_to_Decision]]&lt;5,"quick buyer",Practice3[[#This Row],[Time_to_Decision]]&lt;=10,"considerable buyer",TRUE,"slow buyer")</f>
        <v>considerable buyer</v>
      </c>
      <c r="AF33" t="str" cm="1">
        <f t="array" ref="AF33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34" spans="1:32" x14ac:dyDescent="0.35">
      <c r="A34" t="s">
        <v>164</v>
      </c>
      <c r="B34">
        <v>39</v>
      </c>
      <c r="C34" t="s">
        <v>165</v>
      </c>
      <c r="D34" t="s">
        <v>44</v>
      </c>
      <c r="E34" t="s">
        <v>31</v>
      </c>
      <c r="G34" t="s">
        <v>32</v>
      </c>
      <c r="H34" t="s">
        <v>30</v>
      </c>
      <c r="I34" t="s">
        <v>166</v>
      </c>
      <c r="J34" t="s">
        <v>98</v>
      </c>
      <c r="K34">
        <v>282.13</v>
      </c>
      <c r="L34">
        <v>5</v>
      </c>
      <c r="M34">
        <f t="shared" ref="M34:M65" si="1">SUMIF(E:E,E35,K:K)</f>
        <v>10437.69</v>
      </c>
      <c r="N34" t="s">
        <v>35</v>
      </c>
      <c r="O34">
        <v>4</v>
      </c>
      <c r="P34">
        <v>5</v>
      </c>
      <c r="Q34">
        <v>1</v>
      </c>
      <c r="R34" t="s">
        <v>36</v>
      </c>
      <c r="S34" t="s">
        <v>37</v>
      </c>
      <c r="T34">
        <v>1</v>
      </c>
      <c r="U34">
        <v>2</v>
      </c>
      <c r="V34" t="s">
        <v>36</v>
      </c>
      <c r="W34" t="s">
        <v>38</v>
      </c>
      <c r="X34" t="s">
        <v>68</v>
      </c>
      <c r="Y34" s="5">
        <v>45384</v>
      </c>
      <c r="Z34" t="b">
        <v>1</v>
      </c>
      <c r="AA34" t="b">
        <v>0</v>
      </c>
      <c r="AB34" t="s">
        <v>40</v>
      </c>
      <c r="AC34" t="s">
        <v>54</v>
      </c>
      <c r="AD34">
        <v>9</v>
      </c>
      <c r="AE34" t="str" cm="1">
        <f t="array" ref="AE34">_xlfn.IFS(Practice3[[#This Row],[Time_to_Decision]]&lt;5,"quick buyer",Practice3[[#This Row],[Time_to_Decision]]&lt;=10,"considerable buyer",TRUE,"slow buyer")</f>
        <v>considerable buyer</v>
      </c>
      <c r="AF34" t="str" cm="1">
        <f t="array" ref="AF34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35" spans="1:32" x14ac:dyDescent="0.35">
      <c r="A35" t="s">
        <v>168</v>
      </c>
      <c r="B35">
        <v>48</v>
      </c>
      <c r="C35" t="s">
        <v>43</v>
      </c>
      <c r="D35" t="s">
        <v>44</v>
      </c>
      <c r="E35" t="s">
        <v>71</v>
      </c>
      <c r="G35" t="s">
        <v>45</v>
      </c>
      <c r="H35" t="s">
        <v>30</v>
      </c>
      <c r="I35" t="s">
        <v>169</v>
      </c>
      <c r="J35" t="s">
        <v>98</v>
      </c>
      <c r="K35">
        <v>454.38</v>
      </c>
      <c r="L35">
        <v>10</v>
      </c>
      <c r="M35">
        <f t="shared" si="1"/>
        <v>7484.2200000000012</v>
      </c>
      <c r="N35" t="s">
        <v>82</v>
      </c>
      <c r="O35">
        <v>3</v>
      </c>
      <c r="P35">
        <v>4</v>
      </c>
      <c r="Q35">
        <v>0</v>
      </c>
      <c r="R35" t="s">
        <v>36</v>
      </c>
      <c r="S35" t="s">
        <v>37</v>
      </c>
      <c r="T35">
        <v>0</v>
      </c>
      <c r="U35">
        <v>10</v>
      </c>
      <c r="V35" t="s">
        <v>49</v>
      </c>
      <c r="W35" t="s">
        <v>61</v>
      </c>
      <c r="X35" t="s">
        <v>51</v>
      </c>
      <c r="Y35" s="5">
        <v>45385</v>
      </c>
      <c r="Z35" t="b">
        <v>1</v>
      </c>
      <c r="AA35" t="b">
        <v>0</v>
      </c>
      <c r="AB35" t="s">
        <v>64</v>
      </c>
      <c r="AC35" t="s">
        <v>41</v>
      </c>
      <c r="AD35">
        <v>7</v>
      </c>
      <c r="AE35" t="str" cm="1">
        <f t="array" ref="AE35">_xlfn.IFS(Practice3[[#This Row],[Time_to_Decision]]&lt;5,"quick buyer",Practice3[[#This Row],[Time_to_Decision]]&lt;=10,"considerable buyer",TRUE,"slow buyer")</f>
        <v>considerable buyer</v>
      </c>
      <c r="AF35" t="str" cm="1">
        <f t="array" ref="AF35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36" spans="1:32" x14ac:dyDescent="0.35">
      <c r="A36" t="s">
        <v>171</v>
      </c>
      <c r="B36">
        <v>25</v>
      </c>
      <c r="C36" t="s">
        <v>43</v>
      </c>
      <c r="D36" t="s">
        <v>30</v>
      </c>
      <c r="E36" t="s">
        <v>31</v>
      </c>
      <c r="G36" t="s">
        <v>45</v>
      </c>
      <c r="H36" t="s">
        <v>44</v>
      </c>
      <c r="I36" t="s">
        <v>172</v>
      </c>
      <c r="J36" t="s">
        <v>98</v>
      </c>
      <c r="K36">
        <v>138.88</v>
      </c>
      <c r="L36">
        <v>7</v>
      </c>
      <c r="M36">
        <f t="shared" si="1"/>
        <v>5146.29</v>
      </c>
      <c r="N36" t="s">
        <v>48</v>
      </c>
      <c r="O36">
        <v>2</v>
      </c>
      <c r="P36">
        <v>4</v>
      </c>
      <c r="Q36">
        <v>1</v>
      </c>
      <c r="R36" t="s">
        <v>36</v>
      </c>
      <c r="S36" t="s">
        <v>50</v>
      </c>
      <c r="T36">
        <v>1</v>
      </c>
      <c r="U36">
        <v>3</v>
      </c>
      <c r="V36" t="s">
        <v>36</v>
      </c>
      <c r="W36" t="s">
        <v>38</v>
      </c>
      <c r="X36" t="s">
        <v>91</v>
      </c>
      <c r="Y36" s="5">
        <v>45386</v>
      </c>
      <c r="Z36" t="b">
        <v>1</v>
      </c>
      <c r="AA36" t="b">
        <v>0</v>
      </c>
      <c r="AB36" t="s">
        <v>78</v>
      </c>
      <c r="AC36" t="s">
        <v>41</v>
      </c>
      <c r="AD36">
        <v>4</v>
      </c>
      <c r="AE36" t="str" cm="1">
        <f t="array" ref="AE36">_xlfn.IFS(Practice3[[#This Row],[Time_to_Decision]]&lt;5,"quick buyer",Practice3[[#This Row],[Time_to_Decision]]&lt;=10,"considerable buyer",TRUE,"slow buyer")</f>
        <v>quick buyer</v>
      </c>
      <c r="AF36" t="str" cm="1">
        <f t="array" ref="AF36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37" spans="1:32" x14ac:dyDescent="0.35">
      <c r="A37" t="s">
        <v>173</v>
      </c>
      <c r="B37">
        <v>30</v>
      </c>
      <c r="C37" t="s">
        <v>29</v>
      </c>
      <c r="D37" t="s">
        <v>44</v>
      </c>
      <c r="E37" t="s">
        <v>56</v>
      </c>
      <c r="G37" t="s">
        <v>32</v>
      </c>
      <c r="H37" t="s">
        <v>44</v>
      </c>
      <c r="I37" t="s">
        <v>174</v>
      </c>
      <c r="J37" t="s">
        <v>86</v>
      </c>
      <c r="K37">
        <v>52.34</v>
      </c>
      <c r="L37">
        <v>6</v>
      </c>
      <c r="M37">
        <f t="shared" si="1"/>
        <v>5146.29</v>
      </c>
      <c r="N37" t="s">
        <v>48</v>
      </c>
      <c r="O37">
        <v>3</v>
      </c>
      <c r="P37">
        <v>4</v>
      </c>
      <c r="Q37">
        <v>1</v>
      </c>
      <c r="R37" t="s">
        <v>60</v>
      </c>
      <c r="S37" t="s">
        <v>37</v>
      </c>
      <c r="T37">
        <v>1</v>
      </c>
      <c r="U37">
        <v>5</v>
      </c>
      <c r="V37" t="s">
        <v>49</v>
      </c>
      <c r="W37" t="s">
        <v>38</v>
      </c>
      <c r="X37" t="s">
        <v>51</v>
      </c>
      <c r="Y37" s="5">
        <v>45387</v>
      </c>
      <c r="Z37" t="b">
        <v>1</v>
      </c>
      <c r="AA37" t="b">
        <v>1</v>
      </c>
      <c r="AB37" t="s">
        <v>78</v>
      </c>
      <c r="AC37" t="s">
        <v>69</v>
      </c>
      <c r="AD37">
        <v>13</v>
      </c>
      <c r="AE37" t="str" cm="1">
        <f t="array" ref="AE37">_xlfn.IFS(Practice3[[#This Row],[Time_to_Decision]]&lt;5,"quick buyer",Practice3[[#This Row],[Time_to_Decision]]&lt;=10,"considerable buyer",TRUE,"slow buyer")</f>
        <v>slow buyer</v>
      </c>
      <c r="AF37" t="str" cm="1">
        <f t="array" ref="AF37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38" spans="1:32" x14ac:dyDescent="0.35">
      <c r="A38" t="s">
        <v>176</v>
      </c>
      <c r="B38">
        <v>34</v>
      </c>
      <c r="C38" t="s">
        <v>43</v>
      </c>
      <c r="D38" t="s">
        <v>30</v>
      </c>
      <c r="E38" t="s">
        <v>56</v>
      </c>
      <c r="G38" t="s">
        <v>32</v>
      </c>
      <c r="H38" t="s">
        <v>44</v>
      </c>
      <c r="I38" t="s">
        <v>177</v>
      </c>
      <c r="J38" t="s">
        <v>178</v>
      </c>
      <c r="K38">
        <v>338.2</v>
      </c>
      <c r="L38">
        <v>7</v>
      </c>
      <c r="M38">
        <f t="shared" si="1"/>
        <v>10437.69</v>
      </c>
      <c r="N38" t="s">
        <v>82</v>
      </c>
      <c r="O38">
        <v>3</v>
      </c>
      <c r="P38">
        <v>5</v>
      </c>
      <c r="Q38">
        <v>0</v>
      </c>
      <c r="R38" t="s">
        <v>36</v>
      </c>
      <c r="S38" t="s">
        <v>50</v>
      </c>
      <c r="T38">
        <v>1</v>
      </c>
      <c r="U38">
        <v>9</v>
      </c>
      <c r="V38" t="s">
        <v>49</v>
      </c>
      <c r="W38" t="s">
        <v>38</v>
      </c>
      <c r="X38" t="s">
        <v>68</v>
      </c>
      <c r="Y38" s="5">
        <v>45388</v>
      </c>
      <c r="Z38" t="b">
        <v>1</v>
      </c>
      <c r="AA38" t="b">
        <v>0</v>
      </c>
      <c r="AB38" t="s">
        <v>53</v>
      </c>
      <c r="AC38" t="s">
        <v>54</v>
      </c>
      <c r="AD38">
        <v>7</v>
      </c>
      <c r="AE38" t="str" cm="1">
        <f t="array" ref="AE38">_xlfn.IFS(Practice3[[#This Row],[Time_to_Decision]]&lt;5,"quick buyer",Practice3[[#This Row],[Time_to_Decision]]&lt;=10,"considerable buyer",TRUE,"slow buyer")</f>
        <v>considerable buyer</v>
      </c>
      <c r="AF38" t="str" cm="1">
        <f t="array" ref="AF38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39" spans="1:32" x14ac:dyDescent="0.35">
      <c r="A39" t="s">
        <v>179</v>
      </c>
      <c r="B39">
        <v>21</v>
      </c>
      <c r="C39" t="s">
        <v>29</v>
      </c>
      <c r="D39" t="s">
        <v>30</v>
      </c>
      <c r="E39" t="s">
        <v>71</v>
      </c>
      <c r="G39" t="s">
        <v>45</v>
      </c>
      <c r="H39" t="s">
        <v>30</v>
      </c>
      <c r="I39" t="s">
        <v>180</v>
      </c>
      <c r="J39" t="s">
        <v>137</v>
      </c>
      <c r="K39">
        <v>263.14999999999998</v>
      </c>
      <c r="L39">
        <v>3</v>
      </c>
      <c r="M39">
        <f t="shared" si="1"/>
        <v>7484.2200000000012</v>
      </c>
      <c r="N39" t="s">
        <v>48</v>
      </c>
      <c r="O39">
        <v>1</v>
      </c>
      <c r="P39">
        <v>5</v>
      </c>
      <c r="Q39">
        <v>1</v>
      </c>
      <c r="R39" t="s">
        <v>44</v>
      </c>
      <c r="S39" t="s">
        <v>37</v>
      </c>
      <c r="T39">
        <v>1</v>
      </c>
      <c r="U39">
        <v>10</v>
      </c>
      <c r="V39" t="s">
        <v>44</v>
      </c>
      <c r="W39" t="s">
        <v>38</v>
      </c>
      <c r="X39" t="s">
        <v>68</v>
      </c>
      <c r="Y39" s="5">
        <v>45389</v>
      </c>
      <c r="Z39" t="b">
        <v>1</v>
      </c>
      <c r="AA39" t="b">
        <v>0</v>
      </c>
      <c r="AB39" t="s">
        <v>64</v>
      </c>
      <c r="AC39" t="s">
        <v>69</v>
      </c>
      <c r="AD39">
        <v>10</v>
      </c>
      <c r="AE39" t="str" cm="1">
        <f t="array" ref="AE39">_xlfn.IFS(Practice3[[#This Row],[Time_to_Decision]]&lt;5,"quick buyer",Practice3[[#This Row],[Time_to_Decision]]&lt;=10,"considerable buyer",TRUE,"slow buyer")</f>
        <v>considerable buyer</v>
      </c>
      <c r="AF39" t="str" cm="1">
        <f t="array" ref="AF39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40" spans="1:32" x14ac:dyDescent="0.35">
      <c r="A40" t="s">
        <v>181</v>
      </c>
      <c r="B40">
        <v>36</v>
      </c>
      <c r="C40" t="s">
        <v>29</v>
      </c>
      <c r="D40" t="s">
        <v>30</v>
      </c>
      <c r="E40" t="s">
        <v>31</v>
      </c>
      <c r="G40" t="s">
        <v>57</v>
      </c>
      <c r="H40" t="s">
        <v>30</v>
      </c>
      <c r="I40" t="s">
        <v>182</v>
      </c>
      <c r="J40" t="s">
        <v>130</v>
      </c>
      <c r="K40">
        <v>371.58</v>
      </c>
      <c r="L40">
        <v>2</v>
      </c>
      <c r="M40">
        <f t="shared" si="1"/>
        <v>10437.69</v>
      </c>
      <c r="N40" t="s">
        <v>35</v>
      </c>
      <c r="O40">
        <v>2</v>
      </c>
      <c r="P40">
        <v>1</v>
      </c>
      <c r="Q40">
        <v>2</v>
      </c>
      <c r="R40" t="s">
        <v>44</v>
      </c>
      <c r="S40" t="s">
        <v>50</v>
      </c>
      <c r="T40">
        <v>0</v>
      </c>
      <c r="U40">
        <v>10</v>
      </c>
      <c r="V40" t="s">
        <v>36</v>
      </c>
      <c r="W40" t="s">
        <v>61</v>
      </c>
      <c r="X40" t="s">
        <v>91</v>
      </c>
      <c r="Y40" s="5">
        <v>45390</v>
      </c>
      <c r="Z40" t="b">
        <v>1</v>
      </c>
      <c r="AA40" t="b">
        <v>1</v>
      </c>
      <c r="AB40" t="s">
        <v>53</v>
      </c>
      <c r="AC40" t="s">
        <v>41</v>
      </c>
      <c r="AD40">
        <v>11</v>
      </c>
      <c r="AE40" t="str" cm="1">
        <f t="array" ref="AE40">_xlfn.IFS(Practice3[[#This Row],[Time_to_Decision]]&lt;5,"quick buyer",Practice3[[#This Row],[Time_to_Decision]]&lt;=10,"considerable buyer",TRUE,"slow buyer")</f>
        <v>slow buyer</v>
      </c>
      <c r="AF40" t="str" cm="1">
        <f t="array" ref="AF40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41" spans="1:32" x14ac:dyDescent="0.35">
      <c r="A41" t="s">
        <v>184</v>
      </c>
      <c r="B41">
        <v>30</v>
      </c>
      <c r="C41" t="s">
        <v>43</v>
      </c>
      <c r="D41" t="s">
        <v>30</v>
      </c>
      <c r="E41" t="s">
        <v>71</v>
      </c>
      <c r="G41" t="s">
        <v>32</v>
      </c>
      <c r="H41" t="s">
        <v>30</v>
      </c>
      <c r="I41" t="s">
        <v>185</v>
      </c>
      <c r="J41" t="s">
        <v>111</v>
      </c>
      <c r="K41">
        <v>353.4</v>
      </c>
      <c r="L41">
        <v>2</v>
      </c>
      <c r="M41">
        <f t="shared" si="1"/>
        <v>7517.6</v>
      </c>
      <c r="N41" t="s">
        <v>82</v>
      </c>
      <c r="O41">
        <v>2</v>
      </c>
      <c r="P41">
        <v>3</v>
      </c>
      <c r="Q41">
        <v>2</v>
      </c>
      <c r="R41" t="s">
        <v>49</v>
      </c>
      <c r="S41" t="s">
        <v>90</v>
      </c>
      <c r="T41">
        <v>0</v>
      </c>
      <c r="U41">
        <v>1</v>
      </c>
      <c r="V41" t="s">
        <v>60</v>
      </c>
      <c r="W41" t="s">
        <v>38</v>
      </c>
      <c r="X41" t="s">
        <v>39</v>
      </c>
      <c r="Y41" s="5">
        <v>45391</v>
      </c>
      <c r="Z41" t="b">
        <v>0</v>
      </c>
      <c r="AA41" t="b">
        <v>1</v>
      </c>
      <c r="AB41" t="s">
        <v>64</v>
      </c>
      <c r="AC41" t="s">
        <v>41</v>
      </c>
      <c r="AD41">
        <v>3</v>
      </c>
      <c r="AE41" t="str" cm="1">
        <f t="array" ref="AE41">_xlfn.IFS(Practice3[[#This Row],[Time_to_Decision]]&lt;5,"quick buyer",Practice3[[#This Row],[Time_to_Decision]]&lt;=10,"considerable buyer",TRUE,"slow buyer")</f>
        <v>quick buyer</v>
      </c>
      <c r="AF41" t="str" cm="1">
        <f t="array" ref="AF41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42" spans="1:32" x14ac:dyDescent="0.35">
      <c r="A42" t="s">
        <v>186</v>
      </c>
      <c r="B42">
        <v>46</v>
      </c>
      <c r="C42" t="s">
        <v>29</v>
      </c>
      <c r="D42" t="s">
        <v>30</v>
      </c>
      <c r="E42" t="s">
        <v>80</v>
      </c>
      <c r="G42" t="s">
        <v>45</v>
      </c>
      <c r="H42" t="s">
        <v>44</v>
      </c>
      <c r="I42" t="s">
        <v>187</v>
      </c>
      <c r="J42" t="s">
        <v>130</v>
      </c>
      <c r="K42">
        <v>329.41</v>
      </c>
      <c r="L42">
        <v>5</v>
      </c>
      <c r="M42">
        <f t="shared" si="1"/>
        <v>7484.2200000000012</v>
      </c>
      <c r="N42" t="s">
        <v>48</v>
      </c>
      <c r="O42">
        <v>5</v>
      </c>
      <c r="P42">
        <v>3</v>
      </c>
      <c r="Q42">
        <v>0</v>
      </c>
      <c r="R42" t="s">
        <v>49</v>
      </c>
      <c r="S42" t="s">
        <v>37</v>
      </c>
      <c r="T42">
        <v>1</v>
      </c>
      <c r="U42">
        <v>1</v>
      </c>
      <c r="V42" t="s">
        <v>44</v>
      </c>
      <c r="W42" t="s">
        <v>83</v>
      </c>
      <c r="X42" t="s">
        <v>91</v>
      </c>
      <c r="Y42" s="5">
        <v>45392</v>
      </c>
      <c r="Z42" t="b">
        <v>1</v>
      </c>
      <c r="AA42" t="b">
        <v>1</v>
      </c>
      <c r="AB42" t="s">
        <v>40</v>
      </c>
      <c r="AC42" t="s">
        <v>41</v>
      </c>
      <c r="AD42">
        <v>2</v>
      </c>
      <c r="AE42" t="str" cm="1">
        <f t="array" ref="AE42">_xlfn.IFS(Practice3[[#This Row],[Time_to_Decision]]&lt;5,"quick buyer",Practice3[[#This Row],[Time_to_Decision]]&lt;=10,"considerable buyer",TRUE,"slow buyer")</f>
        <v>quick buyer</v>
      </c>
      <c r="AF42" t="str" cm="1">
        <f t="array" ref="AF42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43" spans="1:32" x14ac:dyDescent="0.35">
      <c r="A43" t="s">
        <v>189</v>
      </c>
      <c r="B43">
        <v>46</v>
      </c>
      <c r="C43" t="s">
        <v>29</v>
      </c>
      <c r="D43" t="s">
        <v>30</v>
      </c>
      <c r="E43" t="s">
        <v>31</v>
      </c>
      <c r="G43" t="s">
        <v>57</v>
      </c>
      <c r="H43" t="s">
        <v>30</v>
      </c>
      <c r="I43" t="s">
        <v>190</v>
      </c>
      <c r="J43" t="s">
        <v>47</v>
      </c>
      <c r="K43">
        <v>54.46</v>
      </c>
      <c r="L43">
        <v>5</v>
      </c>
      <c r="M43">
        <f t="shared" si="1"/>
        <v>10437.69</v>
      </c>
      <c r="N43" t="s">
        <v>82</v>
      </c>
      <c r="O43">
        <v>4</v>
      </c>
      <c r="P43">
        <v>5</v>
      </c>
      <c r="Q43">
        <v>1</v>
      </c>
      <c r="R43" t="s">
        <v>44</v>
      </c>
      <c r="S43" t="s">
        <v>50</v>
      </c>
      <c r="T43">
        <v>1</v>
      </c>
      <c r="U43">
        <v>1</v>
      </c>
      <c r="V43" t="s">
        <v>60</v>
      </c>
      <c r="W43" t="s">
        <v>38</v>
      </c>
      <c r="X43" t="s">
        <v>68</v>
      </c>
      <c r="Y43" s="5">
        <v>45393</v>
      </c>
      <c r="Z43" t="b">
        <v>0</v>
      </c>
      <c r="AA43" t="b">
        <v>0</v>
      </c>
      <c r="AB43" t="s">
        <v>64</v>
      </c>
      <c r="AC43" t="s">
        <v>54</v>
      </c>
      <c r="AD43">
        <v>1</v>
      </c>
      <c r="AE43" t="str" cm="1">
        <f t="array" ref="AE43">_xlfn.IFS(Practice3[[#This Row],[Time_to_Decision]]&lt;5,"quick buyer",Practice3[[#This Row],[Time_to_Decision]]&lt;=10,"considerable buyer",TRUE,"slow buyer")</f>
        <v>quick buyer</v>
      </c>
      <c r="AF43" t="str" cm="1">
        <f t="array" ref="AF43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44" spans="1:32" x14ac:dyDescent="0.35">
      <c r="A44" t="s">
        <v>192</v>
      </c>
      <c r="B44">
        <v>43</v>
      </c>
      <c r="C44" t="s">
        <v>43</v>
      </c>
      <c r="D44" t="s">
        <v>44</v>
      </c>
      <c r="E44" t="s">
        <v>71</v>
      </c>
      <c r="G44" t="s">
        <v>57</v>
      </c>
      <c r="H44" t="s">
        <v>30</v>
      </c>
      <c r="I44" t="s">
        <v>193</v>
      </c>
      <c r="J44" t="s">
        <v>86</v>
      </c>
      <c r="K44">
        <v>257.12</v>
      </c>
      <c r="L44">
        <v>8</v>
      </c>
      <c r="M44">
        <f t="shared" si="1"/>
        <v>7517.6</v>
      </c>
      <c r="N44" t="s">
        <v>82</v>
      </c>
      <c r="O44">
        <v>2</v>
      </c>
      <c r="P44">
        <v>1</v>
      </c>
      <c r="Q44">
        <v>0</v>
      </c>
      <c r="R44" t="s">
        <v>44</v>
      </c>
      <c r="S44" t="s">
        <v>50</v>
      </c>
      <c r="T44">
        <v>2</v>
      </c>
      <c r="U44">
        <v>1</v>
      </c>
      <c r="V44" t="s">
        <v>44</v>
      </c>
      <c r="W44" t="s">
        <v>61</v>
      </c>
      <c r="X44" t="s">
        <v>68</v>
      </c>
      <c r="Y44" s="5">
        <v>45394</v>
      </c>
      <c r="Z44" t="b">
        <v>1</v>
      </c>
      <c r="AA44" t="b">
        <v>0</v>
      </c>
      <c r="AB44" t="s">
        <v>64</v>
      </c>
      <c r="AC44" t="s">
        <v>41</v>
      </c>
      <c r="AD44">
        <v>11</v>
      </c>
      <c r="AE44" t="str" cm="1">
        <f t="array" ref="AE44">_xlfn.IFS(Practice3[[#This Row],[Time_to_Decision]]&lt;5,"quick buyer",Practice3[[#This Row],[Time_to_Decision]]&lt;=10,"considerable buyer",TRUE,"slow buyer")</f>
        <v>slow buyer</v>
      </c>
      <c r="AF44" t="str" cm="1">
        <f t="array" ref="AF44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45" spans="1:32" x14ac:dyDescent="0.35">
      <c r="A45" t="s">
        <v>194</v>
      </c>
      <c r="B45">
        <v>43</v>
      </c>
      <c r="C45" t="s">
        <v>43</v>
      </c>
      <c r="D45" t="s">
        <v>44</v>
      </c>
      <c r="E45" t="s">
        <v>80</v>
      </c>
      <c r="G45" t="s">
        <v>32</v>
      </c>
      <c r="H45" t="s">
        <v>30</v>
      </c>
      <c r="I45" t="s">
        <v>195</v>
      </c>
      <c r="J45" t="s">
        <v>149</v>
      </c>
      <c r="K45">
        <v>293.04000000000002</v>
      </c>
      <c r="L45">
        <v>11</v>
      </c>
      <c r="M45">
        <f t="shared" si="1"/>
        <v>5146.29</v>
      </c>
      <c r="N45" t="s">
        <v>48</v>
      </c>
      <c r="O45">
        <v>4</v>
      </c>
      <c r="P45">
        <v>2</v>
      </c>
      <c r="Q45">
        <v>1</v>
      </c>
      <c r="R45" t="s">
        <v>36</v>
      </c>
      <c r="S45" t="s">
        <v>90</v>
      </c>
      <c r="T45">
        <v>1</v>
      </c>
      <c r="U45">
        <v>3</v>
      </c>
      <c r="V45" t="s">
        <v>60</v>
      </c>
      <c r="W45" t="s">
        <v>83</v>
      </c>
      <c r="X45" t="s">
        <v>51</v>
      </c>
      <c r="Y45" s="5">
        <v>45395</v>
      </c>
      <c r="Z45" t="b">
        <v>1</v>
      </c>
      <c r="AA45" t="b">
        <v>0</v>
      </c>
      <c r="AB45" t="s">
        <v>78</v>
      </c>
      <c r="AC45" t="s">
        <v>54</v>
      </c>
      <c r="AD45">
        <v>6</v>
      </c>
      <c r="AE45" t="str" cm="1">
        <f t="array" ref="AE45">_xlfn.IFS(Practice3[[#This Row],[Time_to_Decision]]&lt;5,"quick buyer",Practice3[[#This Row],[Time_to_Decision]]&lt;=10,"considerable buyer",TRUE,"slow buyer")</f>
        <v>considerable buyer</v>
      </c>
      <c r="AF45" t="str" cm="1">
        <f t="array" ref="AF45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46" spans="1:32" x14ac:dyDescent="0.35">
      <c r="A46" t="s">
        <v>196</v>
      </c>
      <c r="B46">
        <v>34</v>
      </c>
      <c r="C46" t="s">
        <v>43</v>
      </c>
      <c r="D46" t="s">
        <v>44</v>
      </c>
      <c r="E46" t="s">
        <v>56</v>
      </c>
      <c r="G46" t="s">
        <v>57</v>
      </c>
      <c r="H46" t="s">
        <v>44</v>
      </c>
      <c r="I46" t="s">
        <v>197</v>
      </c>
      <c r="J46" t="s">
        <v>86</v>
      </c>
      <c r="K46">
        <v>110.4</v>
      </c>
      <c r="L46">
        <v>12</v>
      </c>
      <c r="M46">
        <f t="shared" si="1"/>
        <v>7484.2200000000012</v>
      </c>
      <c r="N46" t="s">
        <v>35</v>
      </c>
      <c r="O46">
        <v>5</v>
      </c>
      <c r="P46">
        <v>1</v>
      </c>
      <c r="Q46">
        <v>2</v>
      </c>
      <c r="R46" t="s">
        <v>36</v>
      </c>
      <c r="S46" t="s">
        <v>37</v>
      </c>
      <c r="T46">
        <v>1</v>
      </c>
      <c r="U46">
        <v>3</v>
      </c>
      <c r="V46" t="s">
        <v>49</v>
      </c>
      <c r="W46" t="s">
        <v>38</v>
      </c>
      <c r="X46" t="s">
        <v>62</v>
      </c>
      <c r="Y46" s="5">
        <v>45396</v>
      </c>
      <c r="Z46" t="b">
        <v>0</v>
      </c>
      <c r="AA46" t="b">
        <v>0</v>
      </c>
      <c r="AB46" t="s">
        <v>40</v>
      </c>
      <c r="AC46" t="s">
        <v>54</v>
      </c>
      <c r="AD46">
        <v>12</v>
      </c>
      <c r="AE46" t="str" cm="1">
        <f t="array" ref="AE46">_xlfn.IFS(Practice3[[#This Row],[Time_to_Decision]]&lt;5,"quick buyer",Practice3[[#This Row],[Time_to_Decision]]&lt;=10,"considerable buyer",TRUE,"slow buyer")</f>
        <v>slow buyer</v>
      </c>
      <c r="AF46" t="str" cm="1">
        <f t="array" ref="AF46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47" spans="1:32" x14ac:dyDescent="0.35">
      <c r="A47" t="s">
        <v>199</v>
      </c>
      <c r="B47">
        <v>42</v>
      </c>
      <c r="C47" t="s">
        <v>29</v>
      </c>
      <c r="D47" t="s">
        <v>30</v>
      </c>
      <c r="E47" t="s">
        <v>31</v>
      </c>
      <c r="G47" t="s">
        <v>57</v>
      </c>
      <c r="H47" t="s">
        <v>44</v>
      </c>
      <c r="I47" t="s">
        <v>200</v>
      </c>
      <c r="J47" t="s">
        <v>98</v>
      </c>
      <c r="K47">
        <v>76.27</v>
      </c>
      <c r="L47">
        <v>4</v>
      </c>
      <c r="M47">
        <f t="shared" si="1"/>
        <v>10437.69</v>
      </c>
      <c r="N47" t="s">
        <v>48</v>
      </c>
      <c r="O47">
        <v>2</v>
      </c>
      <c r="P47">
        <v>3</v>
      </c>
      <c r="Q47">
        <v>0</v>
      </c>
      <c r="R47" t="s">
        <v>36</v>
      </c>
      <c r="S47" t="s">
        <v>50</v>
      </c>
      <c r="T47">
        <v>0</v>
      </c>
      <c r="U47">
        <v>8</v>
      </c>
      <c r="V47" t="s">
        <v>49</v>
      </c>
      <c r="W47" t="s">
        <v>61</v>
      </c>
      <c r="X47" t="s">
        <v>39</v>
      </c>
      <c r="Y47" s="5">
        <v>45397</v>
      </c>
      <c r="Z47" t="b">
        <v>1</v>
      </c>
      <c r="AA47" t="b">
        <v>0</v>
      </c>
      <c r="AB47" t="s">
        <v>53</v>
      </c>
      <c r="AC47" t="s">
        <v>54</v>
      </c>
      <c r="AD47">
        <v>10</v>
      </c>
      <c r="AE47" t="str" cm="1">
        <f t="array" ref="AE47">_xlfn.IFS(Practice3[[#This Row],[Time_to_Decision]]&lt;5,"quick buyer",Practice3[[#This Row],[Time_to_Decision]]&lt;=10,"considerable buyer",TRUE,"slow buyer")</f>
        <v>considerable buyer</v>
      </c>
      <c r="AF47" t="str" cm="1">
        <f t="array" ref="AF47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48" spans="1:32" x14ac:dyDescent="0.35">
      <c r="A48" t="s">
        <v>202</v>
      </c>
      <c r="B48">
        <v>40</v>
      </c>
      <c r="C48" t="s">
        <v>29</v>
      </c>
      <c r="D48" t="s">
        <v>44</v>
      </c>
      <c r="E48" t="s">
        <v>71</v>
      </c>
      <c r="G48" t="s">
        <v>32</v>
      </c>
      <c r="H48" t="s">
        <v>30</v>
      </c>
      <c r="I48" t="s">
        <v>203</v>
      </c>
      <c r="J48" t="s">
        <v>137</v>
      </c>
      <c r="K48">
        <v>392.08</v>
      </c>
      <c r="L48">
        <v>6</v>
      </c>
      <c r="M48">
        <f t="shared" si="1"/>
        <v>7484.2200000000012</v>
      </c>
      <c r="N48" t="s">
        <v>82</v>
      </c>
      <c r="O48">
        <v>2</v>
      </c>
      <c r="P48">
        <v>5</v>
      </c>
      <c r="Q48">
        <v>1</v>
      </c>
      <c r="R48" t="s">
        <v>36</v>
      </c>
      <c r="S48" t="s">
        <v>90</v>
      </c>
      <c r="T48">
        <v>2</v>
      </c>
      <c r="U48">
        <v>7</v>
      </c>
      <c r="V48" t="s">
        <v>44</v>
      </c>
      <c r="W48" t="s">
        <v>38</v>
      </c>
      <c r="X48" t="s">
        <v>68</v>
      </c>
      <c r="Y48" s="5">
        <v>45398</v>
      </c>
      <c r="Z48" t="b">
        <v>1</v>
      </c>
      <c r="AA48" t="b">
        <v>1</v>
      </c>
      <c r="AB48" t="s">
        <v>40</v>
      </c>
      <c r="AC48" t="s">
        <v>69</v>
      </c>
      <c r="AD48">
        <v>6</v>
      </c>
      <c r="AE48" t="str" cm="1">
        <f t="array" ref="AE48">_xlfn.IFS(Practice3[[#This Row],[Time_to_Decision]]&lt;5,"quick buyer",Practice3[[#This Row],[Time_to_Decision]]&lt;=10,"considerable buyer",TRUE,"slow buyer")</f>
        <v>considerable buyer</v>
      </c>
      <c r="AF48" t="str" cm="1">
        <f t="array" ref="AF48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49" spans="1:32" x14ac:dyDescent="0.35">
      <c r="A49" t="s">
        <v>204</v>
      </c>
      <c r="B49">
        <v>25</v>
      </c>
      <c r="C49" t="s">
        <v>29</v>
      </c>
      <c r="D49" t="s">
        <v>44</v>
      </c>
      <c r="E49" t="s">
        <v>31</v>
      </c>
      <c r="G49" t="s">
        <v>32</v>
      </c>
      <c r="H49" t="s">
        <v>44</v>
      </c>
      <c r="I49" t="s">
        <v>205</v>
      </c>
      <c r="J49" t="s">
        <v>137</v>
      </c>
      <c r="K49">
        <v>51.22</v>
      </c>
      <c r="L49">
        <v>6</v>
      </c>
      <c r="M49">
        <f t="shared" si="1"/>
        <v>7517.6</v>
      </c>
      <c r="N49" t="s">
        <v>82</v>
      </c>
      <c r="O49">
        <v>2</v>
      </c>
      <c r="P49">
        <v>1</v>
      </c>
      <c r="Q49">
        <v>0</v>
      </c>
      <c r="R49" t="s">
        <v>36</v>
      </c>
      <c r="S49" t="s">
        <v>90</v>
      </c>
      <c r="T49">
        <v>1</v>
      </c>
      <c r="U49">
        <v>5</v>
      </c>
      <c r="V49" t="s">
        <v>49</v>
      </c>
      <c r="W49" t="s">
        <v>38</v>
      </c>
      <c r="X49" t="s">
        <v>91</v>
      </c>
      <c r="Y49" s="5">
        <v>45399</v>
      </c>
      <c r="Z49" t="b">
        <v>1</v>
      </c>
      <c r="AA49" t="b">
        <v>1</v>
      </c>
      <c r="AB49" t="s">
        <v>78</v>
      </c>
      <c r="AC49" t="s">
        <v>54</v>
      </c>
      <c r="AD49">
        <v>5</v>
      </c>
      <c r="AE49" t="str" cm="1">
        <f t="array" ref="AE49">_xlfn.IFS(Practice3[[#This Row],[Time_to_Decision]]&lt;5,"quick buyer",Practice3[[#This Row],[Time_to_Decision]]&lt;=10,"considerable buyer",TRUE,"slow buyer")</f>
        <v>considerable buyer</v>
      </c>
      <c r="AF49" t="str" cm="1">
        <f t="array" ref="AF49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50" spans="1:32" x14ac:dyDescent="0.35">
      <c r="A50" t="s">
        <v>207</v>
      </c>
      <c r="B50">
        <v>38</v>
      </c>
      <c r="C50" t="s">
        <v>43</v>
      </c>
      <c r="D50" t="s">
        <v>30</v>
      </c>
      <c r="E50" t="s">
        <v>80</v>
      </c>
      <c r="G50" t="s">
        <v>32</v>
      </c>
      <c r="H50" t="s">
        <v>44</v>
      </c>
      <c r="I50" t="s">
        <v>208</v>
      </c>
      <c r="J50" t="s">
        <v>209</v>
      </c>
      <c r="K50">
        <v>227.57</v>
      </c>
      <c r="L50">
        <v>2</v>
      </c>
      <c r="M50">
        <f t="shared" si="1"/>
        <v>10437.69</v>
      </c>
      <c r="N50" t="s">
        <v>82</v>
      </c>
      <c r="O50">
        <v>1</v>
      </c>
      <c r="P50">
        <v>2</v>
      </c>
      <c r="Q50">
        <v>0</v>
      </c>
      <c r="R50" t="s">
        <v>44</v>
      </c>
      <c r="S50" t="s">
        <v>37</v>
      </c>
      <c r="T50">
        <v>1</v>
      </c>
      <c r="U50">
        <v>6</v>
      </c>
      <c r="V50" t="s">
        <v>36</v>
      </c>
      <c r="W50" t="s">
        <v>38</v>
      </c>
      <c r="X50" t="s">
        <v>51</v>
      </c>
      <c r="Y50" s="5">
        <v>45400</v>
      </c>
      <c r="Z50" t="b">
        <v>0</v>
      </c>
      <c r="AA50" t="b">
        <v>1</v>
      </c>
      <c r="AB50" t="s">
        <v>53</v>
      </c>
      <c r="AC50" t="s">
        <v>41</v>
      </c>
      <c r="AD50">
        <v>14</v>
      </c>
      <c r="AE50" t="str" cm="1">
        <f t="array" ref="AE50">_xlfn.IFS(Practice3[[#This Row],[Time_to_Decision]]&lt;5,"quick buyer",Practice3[[#This Row],[Time_to_Decision]]&lt;=10,"considerable buyer",TRUE,"slow buyer")</f>
        <v>slow buyer</v>
      </c>
      <c r="AF50" t="str" cm="1">
        <f t="array" ref="AF50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51" spans="1:32" x14ac:dyDescent="0.35">
      <c r="A51" t="s">
        <v>211</v>
      </c>
      <c r="B51">
        <v>46</v>
      </c>
      <c r="C51" t="s">
        <v>29</v>
      </c>
      <c r="D51" t="s">
        <v>30</v>
      </c>
      <c r="E51" t="s">
        <v>71</v>
      </c>
      <c r="G51" t="s">
        <v>32</v>
      </c>
      <c r="H51" t="s">
        <v>30</v>
      </c>
      <c r="I51" t="s">
        <v>212</v>
      </c>
      <c r="J51" t="s">
        <v>178</v>
      </c>
      <c r="K51">
        <v>378.87</v>
      </c>
      <c r="L51">
        <v>7</v>
      </c>
      <c r="M51">
        <f t="shared" si="1"/>
        <v>10437.69</v>
      </c>
      <c r="N51" t="s">
        <v>82</v>
      </c>
      <c r="O51">
        <v>1</v>
      </c>
      <c r="P51">
        <v>2</v>
      </c>
      <c r="Q51">
        <v>0</v>
      </c>
      <c r="R51" t="s">
        <v>36</v>
      </c>
      <c r="S51" t="s">
        <v>90</v>
      </c>
      <c r="T51">
        <v>1</v>
      </c>
      <c r="U51">
        <v>2</v>
      </c>
      <c r="V51" t="s">
        <v>60</v>
      </c>
      <c r="W51" t="s">
        <v>38</v>
      </c>
      <c r="X51" t="s">
        <v>51</v>
      </c>
      <c r="Y51" s="5">
        <v>45401</v>
      </c>
      <c r="Z51" t="b">
        <v>1</v>
      </c>
      <c r="AA51" t="b">
        <v>0</v>
      </c>
      <c r="AB51" t="s">
        <v>78</v>
      </c>
      <c r="AC51" t="s">
        <v>41</v>
      </c>
      <c r="AD51">
        <v>5</v>
      </c>
      <c r="AE51" t="str" cm="1">
        <f t="array" ref="AE51">_xlfn.IFS(Practice3[[#This Row],[Time_to_Decision]]&lt;5,"quick buyer",Practice3[[#This Row],[Time_to_Decision]]&lt;=10,"considerable buyer",TRUE,"slow buyer")</f>
        <v>considerable buyer</v>
      </c>
      <c r="AF51" t="str" cm="1">
        <f t="array" ref="AF51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52" spans="1:32" x14ac:dyDescent="0.35">
      <c r="A52" t="s">
        <v>213</v>
      </c>
      <c r="B52">
        <v>24</v>
      </c>
      <c r="C52" t="s">
        <v>29</v>
      </c>
      <c r="D52" t="s">
        <v>30</v>
      </c>
      <c r="E52" t="s">
        <v>71</v>
      </c>
      <c r="G52" t="s">
        <v>45</v>
      </c>
      <c r="H52" t="s">
        <v>44</v>
      </c>
      <c r="I52" t="s">
        <v>214</v>
      </c>
      <c r="J52" t="s">
        <v>215</v>
      </c>
      <c r="K52">
        <v>423.92</v>
      </c>
      <c r="L52">
        <v>8</v>
      </c>
      <c r="M52">
        <f t="shared" si="1"/>
        <v>10437.69</v>
      </c>
      <c r="N52" t="s">
        <v>35</v>
      </c>
      <c r="O52">
        <v>3</v>
      </c>
      <c r="P52">
        <v>1</v>
      </c>
      <c r="Q52">
        <v>2</v>
      </c>
      <c r="R52" t="s">
        <v>60</v>
      </c>
      <c r="S52" t="s">
        <v>37</v>
      </c>
      <c r="T52">
        <v>0</v>
      </c>
      <c r="U52">
        <v>9</v>
      </c>
      <c r="V52" t="s">
        <v>44</v>
      </c>
      <c r="W52" t="s">
        <v>38</v>
      </c>
      <c r="X52" t="s">
        <v>39</v>
      </c>
      <c r="Y52" s="5">
        <v>45402</v>
      </c>
      <c r="Z52" t="b">
        <v>0</v>
      </c>
      <c r="AA52" t="b">
        <v>1</v>
      </c>
      <c r="AB52" t="s">
        <v>40</v>
      </c>
      <c r="AC52" t="s">
        <v>54</v>
      </c>
      <c r="AD52">
        <v>8</v>
      </c>
      <c r="AE52" t="str" cm="1">
        <f t="array" ref="AE52">_xlfn.IFS(Practice3[[#This Row],[Time_to_Decision]]&lt;5,"quick buyer",Practice3[[#This Row],[Time_to_Decision]]&lt;=10,"considerable buyer",TRUE,"slow buyer")</f>
        <v>considerable buyer</v>
      </c>
      <c r="AF52" t="str" cm="1">
        <f t="array" ref="AF52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53" spans="1:32" x14ac:dyDescent="0.35">
      <c r="A53" t="s">
        <v>217</v>
      </c>
      <c r="B53">
        <v>43</v>
      </c>
      <c r="C53" t="s">
        <v>218</v>
      </c>
      <c r="D53" t="s">
        <v>44</v>
      </c>
      <c r="E53" t="s">
        <v>71</v>
      </c>
      <c r="G53" t="s">
        <v>57</v>
      </c>
      <c r="H53" t="s">
        <v>30</v>
      </c>
      <c r="I53" t="s">
        <v>219</v>
      </c>
      <c r="J53" t="s">
        <v>149</v>
      </c>
      <c r="K53">
        <v>111.24</v>
      </c>
      <c r="L53">
        <v>9</v>
      </c>
      <c r="M53">
        <f t="shared" si="1"/>
        <v>5146.29</v>
      </c>
      <c r="N53" t="s">
        <v>35</v>
      </c>
      <c r="O53">
        <v>5</v>
      </c>
      <c r="P53">
        <v>2</v>
      </c>
      <c r="Q53">
        <v>0</v>
      </c>
      <c r="R53" t="s">
        <v>49</v>
      </c>
      <c r="S53" t="s">
        <v>37</v>
      </c>
      <c r="T53">
        <v>0</v>
      </c>
      <c r="U53">
        <v>2</v>
      </c>
      <c r="V53" t="s">
        <v>44</v>
      </c>
      <c r="W53" t="s">
        <v>61</v>
      </c>
      <c r="X53" t="s">
        <v>39</v>
      </c>
      <c r="Y53" s="5">
        <v>45403</v>
      </c>
      <c r="Z53" t="b">
        <v>1</v>
      </c>
      <c r="AA53" t="b">
        <v>0</v>
      </c>
      <c r="AB53" t="s">
        <v>40</v>
      </c>
      <c r="AC53" t="s">
        <v>41</v>
      </c>
      <c r="AD53">
        <v>12</v>
      </c>
      <c r="AE53" t="str" cm="1">
        <f t="array" ref="AE53">_xlfn.IFS(Practice3[[#This Row],[Time_to_Decision]]&lt;5,"quick buyer",Practice3[[#This Row],[Time_to_Decision]]&lt;=10,"considerable buyer",TRUE,"slow buyer")</f>
        <v>slow buyer</v>
      </c>
      <c r="AF53" t="str" cm="1">
        <f t="array" ref="AF53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54" spans="1:32" x14ac:dyDescent="0.35">
      <c r="A54" t="s">
        <v>220</v>
      </c>
      <c r="B54">
        <v>37</v>
      </c>
      <c r="C54" t="s">
        <v>29</v>
      </c>
      <c r="D54" t="s">
        <v>30</v>
      </c>
      <c r="E54" t="s">
        <v>56</v>
      </c>
      <c r="G54" t="s">
        <v>32</v>
      </c>
      <c r="H54" t="s">
        <v>30</v>
      </c>
      <c r="I54" t="s">
        <v>221</v>
      </c>
      <c r="J54" t="s">
        <v>222</v>
      </c>
      <c r="K54">
        <v>299.31</v>
      </c>
      <c r="L54">
        <v>7</v>
      </c>
      <c r="M54">
        <f t="shared" si="1"/>
        <v>10437.69</v>
      </c>
      <c r="N54" t="s">
        <v>35</v>
      </c>
      <c r="O54">
        <v>2</v>
      </c>
      <c r="P54">
        <v>4</v>
      </c>
      <c r="Q54">
        <v>1</v>
      </c>
      <c r="R54" t="s">
        <v>49</v>
      </c>
      <c r="S54" t="s">
        <v>90</v>
      </c>
      <c r="T54">
        <v>2</v>
      </c>
      <c r="U54">
        <v>3</v>
      </c>
      <c r="V54" t="s">
        <v>36</v>
      </c>
      <c r="W54" t="s">
        <v>83</v>
      </c>
      <c r="X54" t="s">
        <v>62</v>
      </c>
      <c r="Y54" s="5">
        <v>45404</v>
      </c>
      <c r="Z54" t="b">
        <v>1</v>
      </c>
      <c r="AA54" t="b">
        <v>0</v>
      </c>
      <c r="AB54" t="s">
        <v>40</v>
      </c>
      <c r="AC54" t="s">
        <v>69</v>
      </c>
      <c r="AD54">
        <v>3</v>
      </c>
      <c r="AE54" t="str" cm="1">
        <f t="array" ref="AE54">_xlfn.IFS(Practice3[[#This Row],[Time_to_Decision]]&lt;5,"quick buyer",Practice3[[#This Row],[Time_to_Decision]]&lt;=10,"considerable buyer",TRUE,"slow buyer")</f>
        <v>quick buyer</v>
      </c>
      <c r="AF54" t="str" cm="1">
        <f t="array" ref="AF54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55" spans="1:32" x14ac:dyDescent="0.35">
      <c r="A55" t="s">
        <v>223</v>
      </c>
      <c r="B55">
        <v>42</v>
      </c>
      <c r="C55" t="s">
        <v>43</v>
      </c>
      <c r="D55" t="s">
        <v>30</v>
      </c>
      <c r="E55" t="s">
        <v>71</v>
      </c>
      <c r="G55" t="s">
        <v>57</v>
      </c>
      <c r="H55" t="s">
        <v>30</v>
      </c>
      <c r="I55" t="s">
        <v>224</v>
      </c>
      <c r="J55" t="s">
        <v>107</v>
      </c>
      <c r="K55">
        <v>169.28</v>
      </c>
      <c r="L55">
        <v>7</v>
      </c>
      <c r="M55">
        <f t="shared" si="1"/>
        <v>10437.69</v>
      </c>
      <c r="N55" t="s">
        <v>35</v>
      </c>
      <c r="O55">
        <v>4</v>
      </c>
      <c r="P55">
        <v>4</v>
      </c>
      <c r="Q55">
        <v>1</v>
      </c>
      <c r="R55" t="s">
        <v>36</v>
      </c>
      <c r="S55" t="s">
        <v>37</v>
      </c>
      <c r="T55">
        <v>2</v>
      </c>
      <c r="U55">
        <v>1</v>
      </c>
      <c r="V55" t="s">
        <v>60</v>
      </c>
      <c r="W55" t="s">
        <v>38</v>
      </c>
      <c r="X55" t="s">
        <v>91</v>
      </c>
      <c r="Y55" s="5">
        <v>45405</v>
      </c>
      <c r="Z55" t="b">
        <v>1</v>
      </c>
      <c r="AA55" t="b">
        <v>1</v>
      </c>
      <c r="AB55" t="s">
        <v>64</v>
      </c>
      <c r="AC55" t="s">
        <v>41</v>
      </c>
      <c r="AD55">
        <v>6</v>
      </c>
      <c r="AE55" t="str" cm="1">
        <f t="array" ref="AE55">_xlfn.IFS(Practice3[[#This Row],[Time_to_Decision]]&lt;5,"quick buyer",Practice3[[#This Row],[Time_to_Decision]]&lt;=10,"considerable buyer",TRUE,"slow buyer")</f>
        <v>considerable buyer</v>
      </c>
      <c r="AF55" t="str" cm="1">
        <f t="array" ref="AF55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56" spans="1:32" x14ac:dyDescent="0.35">
      <c r="A56" t="s">
        <v>226</v>
      </c>
      <c r="B56">
        <v>29</v>
      </c>
      <c r="C56" t="s">
        <v>43</v>
      </c>
      <c r="D56" t="s">
        <v>30</v>
      </c>
      <c r="E56" t="s">
        <v>71</v>
      </c>
      <c r="G56" t="s">
        <v>45</v>
      </c>
      <c r="H56" t="s">
        <v>44</v>
      </c>
      <c r="I56" t="s">
        <v>227</v>
      </c>
      <c r="J56" t="s">
        <v>59</v>
      </c>
      <c r="K56">
        <v>449.13</v>
      </c>
      <c r="L56">
        <v>9</v>
      </c>
      <c r="M56">
        <f t="shared" si="1"/>
        <v>7484.2200000000012</v>
      </c>
      <c r="N56" t="s">
        <v>48</v>
      </c>
      <c r="O56">
        <v>2</v>
      </c>
      <c r="P56">
        <v>1</v>
      </c>
      <c r="Q56">
        <v>0.5</v>
      </c>
      <c r="R56" t="s">
        <v>49</v>
      </c>
      <c r="S56" t="s">
        <v>50</v>
      </c>
      <c r="T56">
        <v>2</v>
      </c>
      <c r="U56">
        <v>2</v>
      </c>
      <c r="V56" t="s">
        <v>60</v>
      </c>
      <c r="W56" t="s">
        <v>38</v>
      </c>
      <c r="X56" t="s">
        <v>39</v>
      </c>
      <c r="Y56" s="5">
        <v>45406</v>
      </c>
      <c r="Z56" t="b">
        <v>0</v>
      </c>
      <c r="AA56" t="b">
        <v>0</v>
      </c>
      <c r="AB56" t="s">
        <v>78</v>
      </c>
      <c r="AC56" t="s">
        <v>41</v>
      </c>
      <c r="AD56">
        <v>14</v>
      </c>
      <c r="AE56" t="str" cm="1">
        <f t="array" ref="AE56">_xlfn.IFS(Practice3[[#This Row],[Time_to_Decision]]&lt;5,"quick buyer",Practice3[[#This Row],[Time_to_Decision]]&lt;=10,"considerable buyer",TRUE,"slow buyer")</f>
        <v>slow buyer</v>
      </c>
      <c r="AF56" t="str" cm="1">
        <f t="array" ref="AF56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57" spans="1:32" x14ac:dyDescent="0.35">
      <c r="A57" t="s">
        <v>228</v>
      </c>
      <c r="B57">
        <v>35</v>
      </c>
      <c r="C57" t="s">
        <v>29</v>
      </c>
      <c r="D57" t="s">
        <v>44</v>
      </c>
      <c r="E57" t="s">
        <v>31</v>
      </c>
      <c r="G57" t="s">
        <v>57</v>
      </c>
      <c r="H57" t="s">
        <v>44</v>
      </c>
      <c r="I57" t="s">
        <v>229</v>
      </c>
      <c r="J57" t="s">
        <v>107</v>
      </c>
      <c r="K57">
        <v>427.48</v>
      </c>
      <c r="L57">
        <v>6</v>
      </c>
      <c r="M57">
        <f t="shared" si="1"/>
        <v>5146.29</v>
      </c>
      <c r="N57" t="s">
        <v>82</v>
      </c>
      <c r="O57">
        <v>4</v>
      </c>
      <c r="P57">
        <v>2</v>
      </c>
      <c r="Q57">
        <v>0</v>
      </c>
      <c r="R57" t="s">
        <v>49</v>
      </c>
      <c r="S57" t="s">
        <v>50</v>
      </c>
      <c r="T57">
        <v>1</v>
      </c>
      <c r="U57">
        <v>1</v>
      </c>
      <c r="V57" t="s">
        <v>60</v>
      </c>
      <c r="W57" t="s">
        <v>61</v>
      </c>
      <c r="X57" t="s">
        <v>62</v>
      </c>
      <c r="Y57" s="5">
        <v>45407</v>
      </c>
      <c r="Z57" t="b">
        <v>1</v>
      </c>
      <c r="AA57" t="b">
        <v>0</v>
      </c>
      <c r="AB57" t="s">
        <v>64</v>
      </c>
      <c r="AC57" t="s">
        <v>54</v>
      </c>
      <c r="AD57">
        <v>11</v>
      </c>
      <c r="AE57" t="str" cm="1">
        <f t="array" ref="AE57">_xlfn.IFS(Practice3[[#This Row],[Time_to_Decision]]&lt;5,"quick buyer",Practice3[[#This Row],[Time_to_Decision]]&lt;=10,"considerable buyer",TRUE,"slow buyer")</f>
        <v>slow buyer</v>
      </c>
      <c r="AF57" t="str" cm="1">
        <f t="array" ref="AF57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58" spans="1:32" x14ac:dyDescent="0.35">
      <c r="A58" t="s">
        <v>231</v>
      </c>
      <c r="B58">
        <v>27</v>
      </c>
      <c r="C58" t="s">
        <v>29</v>
      </c>
      <c r="D58" t="s">
        <v>30</v>
      </c>
      <c r="E58" t="s">
        <v>56</v>
      </c>
      <c r="G58" t="s">
        <v>45</v>
      </c>
      <c r="H58" t="s">
        <v>44</v>
      </c>
      <c r="I58" t="s">
        <v>232</v>
      </c>
      <c r="J58" t="s">
        <v>95</v>
      </c>
      <c r="K58">
        <v>171.61</v>
      </c>
      <c r="L58">
        <v>3</v>
      </c>
      <c r="M58">
        <f t="shared" si="1"/>
        <v>7484.2200000000012</v>
      </c>
      <c r="N58" t="s">
        <v>82</v>
      </c>
      <c r="O58">
        <v>3</v>
      </c>
      <c r="P58">
        <v>1</v>
      </c>
      <c r="Q58">
        <v>2</v>
      </c>
      <c r="R58" t="s">
        <v>60</v>
      </c>
      <c r="S58" t="s">
        <v>90</v>
      </c>
      <c r="T58">
        <v>1</v>
      </c>
      <c r="U58">
        <v>6</v>
      </c>
      <c r="V58" t="s">
        <v>44</v>
      </c>
      <c r="W58" t="s">
        <v>83</v>
      </c>
      <c r="X58" t="s">
        <v>39</v>
      </c>
      <c r="Y58" s="5">
        <v>45408</v>
      </c>
      <c r="Z58" t="b">
        <v>1</v>
      </c>
      <c r="AA58" t="b">
        <v>0</v>
      </c>
      <c r="AB58" t="s">
        <v>78</v>
      </c>
      <c r="AC58" t="s">
        <v>69</v>
      </c>
      <c r="AD58">
        <v>8</v>
      </c>
      <c r="AE58" t="str" cm="1">
        <f t="array" ref="AE58">_xlfn.IFS(Practice3[[#This Row],[Time_to_Decision]]&lt;5,"quick buyer",Practice3[[#This Row],[Time_to_Decision]]&lt;=10,"considerable buyer",TRUE,"slow buyer")</f>
        <v>considerable buyer</v>
      </c>
      <c r="AF58" t="str" cm="1">
        <f t="array" ref="AF58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59" spans="1:32" x14ac:dyDescent="0.35">
      <c r="A59" t="s">
        <v>234</v>
      </c>
      <c r="B59">
        <v>40</v>
      </c>
      <c r="C59" t="s">
        <v>29</v>
      </c>
      <c r="D59" t="s">
        <v>44</v>
      </c>
      <c r="E59" t="s">
        <v>31</v>
      </c>
      <c r="G59" t="s">
        <v>32</v>
      </c>
      <c r="H59" t="s">
        <v>44</v>
      </c>
      <c r="I59" t="s">
        <v>235</v>
      </c>
      <c r="J59" t="s">
        <v>86</v>
      </c>
      <c r="K59">
        <v>240.28</v>
      </c>
      <c r="L59">
        <v>3</v>
      </c>
      <c r="M59">
        <f t="shared" si="1"/>
        <v>5146.29</v>
      </c>
      <c r="N59" t="s">
        <v>82</v>
      </c>
      <c r="O59">
        <v>3</v>
      </c>
      <c r="P59">
        <v>5</v>
      </c>
      <c r="Q59">
        <v>2</v>
      </c>
      <c r="R59" t="s">
        <v>44</v>
      </c>
      <c r="S59" t="s">
        <v>50</v>
      </c>
      <c r="T59">
        <v>2</v>
      </c>
      <c r="U59">
        <v>7</v>
      </c>
      <c r="V59" t="s">
        <v>49</v>
      </c>
      <c r="W59" t="s">
        <v>38</v>
      </c>
      <c r="X59" t="s">
        <v>91</v>
      </c>
      <c r="Y59" s="5">
        <v>45409</v>
      </c>
      <c r="Z59" t="b">
        <v>1</v>
      </c>
      <c r="AA59" t="b">
        <v>1</v>
      </c>
      <c r="AB59" t="s">
        <v>64</v>
      </c>
      <c r="AC59" t="s">
        <v>54</v>
      </c>
      <c r="AD59">
        <v>4</v>
      </c>
      <c r="AE59" t="str" cm="1">
        <f t="array" ref="AE59">_xlfn.IFS(Practice3[[#This Row],[Time_to_Decision]]&lt;5,"quick buyer",Practice3[[#This Row],[Time_to_Decision]]&lt;=10,"considerable buyer",TRUE,"slow buyer")</f>
        <v>quick buyer</v>
      </c>
      <c r="AF59" t="str" cm="1">
        <f t="array" ref="AF59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60" spans="1:32" x14ac:dyDescent="0.35">
      <c r="A60" t="s">
        <v>236</v>
      </c>
      <c r="B60">
        <v>34</v>
      </c>
      <c r="C60" t="s">
        <v>29</v>
      </c>
      <c r="D60" t="s">
        <v>44</v>
      </c>
      <c r="E60" t="s">
        <v>56</v>
      </c>
      <c r="G60" t="s">
        <v>45</v>
      </c>
      <c r="H60" t="s">
        <v>44</v>
      </c>
      <c r="I60" t="s">
        <v>237</v>
      </c>
      <c r="J60" t="s">
        <v>73</v>
      </c>
      <c r="K60">
        <v>310.17</v>
      </c>
      <c r="L60">
        <v>6</v>
      </c>
      <c r="M60">
        <f t="shared" si="1"/>
        <v>7484.2200000000012</v>
      </c>
      <c r="N60" t="s">
        <v>48</v>
      </c>
      <c r="O60">
        <v>2</v>
      </c>
      <c r="P60">
        <v>3</v>
      </c>
      <c r="Q60">
        <v>2</v>
      </c>
      <c r="R60" t="s">
        <v>49</v>
      </c>
      <c r="S60" t="s">
        <v>90</v>
      </c>
      <c r="T60">
        <v>0</v>
      </c>
      <c r="U60">
        <v>10</v>
      </c>
      <c r="V60" t="s">
        <v>36</v>
      </c>
      <c r="W60" t="s">
        <v>61</v>
      </c>
      <c r="X60" t="s">
        <v>62</v>
      </c>
      <c r="Y60" s="5">
        <v>45410</v>
      </c>
      <c r="Z60" t="b">
        <v>0</v>
      </c>
      <c r="AA60" t="b">
        <v>0</v>
      </c>
      <c r="AB60" t="s">
        <v>53</v>
      </c>
      <c r="AC60" t="s">
        <v>41</v>
      </c>
      <c r="AD60">
        <v>13</v>
      </c>
      <c r="AE60" t="str" cm="1">
        <f t="array" ref="AE60">_xlfn.IFS(Practice3[[#This Row],[Time_to_Decision]]&lt;5,"quick buyer",Practice3[[#This Row],[Time_to_Decision]]&lt;=10,"considerable buyer",TRUE,"slow buyer")</f>
        <v>slow buyer</v>
      </c>
      <c r="AF60" t="str" cm="1">
        <f t="array" ref="AF60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61" spans="1:32" x14ac:dyDescent="0.35">
      <c r="A61" t="s">
        <v>239</v>
      </c>
      <c r="B61">
        <v>25</v>
      </c>
      <c r="C61" t="s">
        <v>29</v>
      </c>
      <c r="D61" t="s">
        <v>30</v>
      </c>
      <c r="E61" t="s">
        <v>31</v>
      </c>
      <c r="G61" t="s">
        <v>32</v>
      </c>
      <c r="H61" t="s">
        <v>30</v>
      </c>
      <c r="I61" t="s">
        <v>240</v>
      </c>
      <c r="J61" t="s">
        <v>115</v>
      </c>
      <c r="K61">
        <v>166</v>
      </c>
      <c r="L61">
        <v>10</v>
      </c>
      <c r="M61">
        <f t="shared" si="1"/>
        <v>7517.6</v>
      </c>
      <c r="N61" t="s">
        <v>82</v>
      </c>
      <c r="O61">
        <v>5</v>
      </c>
      <c r="P61">
        <v>3</v>
      </c>
      <c r="Q61">
        <v>0</v>
      </c>
      <c r="R61" t="s">
        <v>44</v>
      </c>
      <c r="S61" t="s">
        <v>50</v>
      </c>
      <c r="T61">
        <v>2</v>
      </c>
      <c r="U61">
        <v>10</v>
      </c>
      <c r="V61" t="s">
        <v>49</v>
      </c>
      <c r="W61" t="s">
        <v>61</v>
      </c>
      <c r="X61" t="s">
        <v>51</v>
      </c>
      <c r="Y61" s="5">
        <v>45411</v>
      </c>
      <c r="Z61" t="b">
        <v>0</v>
      </c>
      <c r="AA61" t="b">
        <v>0</v>
      </c>
      <c r="AB61" t="s">
        <v>64</v>
      </c>
      <c r="AC61" t="s">
        <v>69</v>
      </c>
      <c r="AD61">
        <v>5</v>
      </c>
      <c r="AE61" t="str" cm="1">
        <f t="array" ref="AE61">_xlfn.IFS(Practice3[[#This Row],[Time_to_Decision]]&lt;5,"quick buyer",Practice3[[#This Row],[Time_to_Decision]]&lt;=10,"considerable buyer",TRUE,"slow buyer")</f>
        <v>considerable buyer</v>
      </c>
      <c r="AF61" t="str" cm="1">
        <f t="array" ref="AF61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62" spans="1:32" x14ac:dyDescent="0.35">
      <c r="A62" t="s">
        <v>241</v>
      </c>
      <c r="B62">
        <v>38</v>
      </c>
      <c r="C62" t="s">
        <v>43</v>
      </c>
      <c r="D62" t="s">
        <v>44</v>
      </c>
      <c r="E62" t="s">
        <v>80</v>
      </c>
      <c r="G62" t="s">
        <v>32</v>
      </c>
      <c r="H62" t="s">
        <v>44</v>
      </c>
      <c r="I62" t="s">
        <v>242</v>
      </c>
      <c r="J62" t="s">
        <v>133</v>
      </c>
      <c r="K62">
        <v>362.01</v>
      </c>
      <c r="L62">
        <v>2</v>
      </c>
      <c r="M62">
        <f t="shared" si="1"/>
        <v>7484.2200000000012</v>
      </c>
      <c r="N62" t="s">
        <v>48</v>
      </c>
      <c r="O62">
        <v>2</v>
      </c>
      <c r="P62">
        <v>4</v>
      </c>
      <c r="Q62">
        <v>1</v>
      </c>
      <c r="R62" t="s">
        <v>36</v>
      </c>
      <c r="S62" t="s">
        <v>37</v>
      </c>
      <c r="T62">
        <v>2</v>
      </c>
      <c r="U62">
        <v>1</v>
      </c>
      <c r="V62" t="s">
        <v>49</v>
      </c>
      <c r="W62" t="s">
        <v>38</v>
      </c>
      <c r="X62" t="s">
        <v>62</v>
      </c>
      <c r="Y62" s="5">
        <v>45412</v>
      </c>
      <c r="Z62" t="b">
        <v>0</v>
      </c>
      <c r="AA62" t="b">
        <v>0</v>
      </c>
      <c r="AB62" t="s">
        <v>64</v>
      </c>
      <c r="AC62" t="s">
        <v>69</v>
      </c>
      <c r="AD62">
        <v>1</v>
      </c>
      <c r="AE62" t="str" cm="1">
        <f t="array" ref="AE62">_xlfn.IFS(Practice3[[#This Row],[Time_to_Decision]]&lt;5,"quick buyer",Practice3[[#This Row],[Time_to_Decision]]&lt;=10,"considerable buyer",TRUE,"slow buyer")</f>
        <v>quick buyer</v>
      </c>
      <c r="AF62" t="str" cm="1">
        <f t="array" ref="AF62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63" spans="1:32" x14ac:dyDescent="0.35">
      <c r="A63" t="s">
        <v>244</v>
      </c>
      <c r="B63">
        <v>33</v>
      </c>
      <c r="C63" t="s">
        <v>245</v>
      </c>
      <c r="D63" t="s">
        <v>44</v>
      </c>
      <c r="E63" t="s">
        <v>31</v>
      </c>
      <c r="G63" t="s">
        <v>32</v>
      </c>
      <c r="H63" t="s">
        <v>30</v>
      </c>
      <c r="I63" t="s">
        <v>246</v>
      </c>
      <c r="J63" t="s">
        <v>222</v>
      </c>
      <c r="K63">
        <v>348.5</v>
      </c>
      <c r="L63">
        <v>3</v>
      </c>
      <c r="M63">
        <f t="shared" si="1"/>
        <v>7484.2200000000012</v>
      </c>
      <c r="N63" t="s">
        <v>35</v>
      </c>
      <c r="O63">
        <v>2</v>
      </c>
      <c r="P63">
        <v>3</v>
      </c>
      <c r="Q63">
        <v>2</v>
      </c>
      <c r="R63" t="s">
        <v>36</v>
      </c>
      <c r="S63" t="s">
        <v>50</v>
      </c>
      <c r="T63">
        <v>0</v>
      </c>
      <c r="U63">
        <v>6</v>
      </c>
      <c r="V63" t="s">
        <v>49</v>
      </c>
      <c r="W63" t="s">
        <v>61</v>
      </c>
      <c r="X63" t="s">
        <v>62</v>
      </c>
      <c r="Y63" s="5">
        <v>45413</v>
      </c>
      <c r="Z63" t="b">
        <v>0</v>
      </c>
      <c r="AA63" t="b">
        <v>0</v>
      </c>
      <c r="AB63" t="s">
        <v>78</v>
      </c>
      <c r="AC63" t="s">
        <v>41</v>
      </c>
      <c r="AD63">
        <v>8</v>
      </c>
      <c r="AE63" t="str" cm="1">
        <f t="array" ref="AE63">_xlfn.IFS(Practice3[[#This Row],[Time_to_Decision]]&lt;5,"quick buyer",Practice3[[#This Row],[Time_to_Decision]]&lt;=10,"considerable buyer",TRUE,"slow buyer")</f>
        <v>considerable buyer</v>
      </c>
      <c r="AF63" t="str" cm="1">
        <f t="array" ref="AF63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64" spans="1:32" x14ac:dyDescent="0.35">
      <c r="A64" t="s">
        <v>247</v>
      </c>
      <c r="B64">
        <v>32</v>
      </c>
      <c r="C64" t="s">
        <v>29</v>
      </c>
      <c r="D64" t="s">
        <v>30</v>
      </c>
      <c r="E64" t="s">
        <v>31</v>
      </c>
      <c r="G64" t="s">
        <v>32</v>
      </c>
      <c r="H64" t="s">
        <v>44</v>
      </c>
      <c r="I64" t="s">
        <v>248</v>
      </c>
      <c r="J64" t="s">
        <v>107</v>
      </c>
      <c r="K64">
        <v>395.97</v>
      </c>
      <c r="L64">
        <v>9</v>
      </c>
      <c r="M64">
        <f t="shared" si="1"/>
        <v>10437.69</v>
      </c>
      <c r="N64" t="s">
        <v>48</v>
      </c>
      <c r="O64">
        <v>1</v>
      </c>
      <c r="P64">
        <v>4</v>
      </c>
      <c r="Q64">
        <v>0</v>
      </c>
      <c r="R64" t="s">
        <v>49</v>
      </c>
      <c r="S64" t="s">
        <v>90</v>
      </c>
      <c r="T64">
        <v>1</v>
      </c>
      <c r="U64">
        <v>6</v>
      </c>
      <c r="V64" t="s">
        <v>60</v>
      </c>
      <c r="W64" t="s">
        <v>38</v>
      </c>
      <c r="X64" t="s">
        <v>62</v>
      </c>
      <c r="Y64" s="5">
        <v>45414</v>
      </c>
      <c r="Z64" t="b">
        <v>1</v>
      </c>
      <c r="AA64" t="b">
        <v>1</v>
      </c>
      <c r="AB64" t="s">
        <v>53</v>
      </c>
      <c r="AC64" t="s">
        <v>54</v>
      </c>
      <c r="AD64">
        <v>1</v>
      </c>
      <c r="AE64" t="str" cm="1">
        <f t="array" ref="AE64">_xlfn.IFS(Practice3[[#This Row],[Time_to_Decision]]&lt;5,"quick buyer",Practice3[[#This Row],[Time_to_Decision]]&lt;=10,"considerable buyer",TRUE,"slow buyer")</f>
        <v>quick buyer</v>
      </c>
      <c r="AF64" t="str" cm="1">
        <f t="array" ref="AF64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65" spans="1:32" x14ac:dyDescent="0.35">
      <c r="A65" t="s">
        <v>250</v>
      </c>
      <c r="B65">
        <v>50</v>
      </c>
      <c r="C65" t="s">
        <v>29</v>
      </c>
      <c r="D65" t="s">
        <v>30</v>
      </c>
      <c r="E65" t="s">
        <v>71</v>
      </c>
      <c r="G65" t="s">
        <v>45</v>
      </c>
      <c r="H65" t="s">
        <v>30</v>
      </c>
      <c r="I65" t="s">
        <v>251</v>
      </c>
      <c r="J65" t="s">
        <v>95</v>
      </c>
      <c r="K65">
        <v>474.99</v>
      </c>
      <c r="L65">
        <v>9</v>
      </c>
      <c r="M65">
        <f t="shared" si="1"/>
        <v>10437.69</v>
      </c>
      <c r="N65" t="s">
        <v>82</v>
      </c>
      <c r="O65">
        <v>2</v>
      </c>
      <c r="P65">
        <v>4</v>
      </c>
      <c r="Q65">
        <v>1</v>
      </c>
      <c r="R65" t="s">
        <v>36</v>
      </c>
      <c r="S65" t="s">
        <v>37</v>
      </c>
      <c r="T65">
        <v>0</v>
      </c>
      <c r="U65">
        <v>8</v>
      </c>
      <c r="V65" t="s">
        <v>44</v>
      </c>
      <c r="W65" t="s">
        <v>83</v>
      </c>
      <c r="X65" t="s">
        <v>39</v>
      </c>
      <c r="Y65" s="5">
        <v>45415</v>
      </c>
      <c r="Z65" t="b">
        <v>1</v>
      </c>
      <c r="AA65" t="b">
        <v>0</v>
      </c>
      <c r="AB65" t="s">
        <v>78</v>
      </c>
      <c r="AC65" t="s">
        <v>54</v>
      </c>
      <c r="AD65">
        <v>5</v>
      </c>
      <c r="AE65" t="str" cm="1">
        <f t="array" ref="AE65">_xlfn.IFS(Practice3[[#This Row],[Time_to_Decision]]&lt;5,"quick buyer",Practice3[[#This Row],[Time_to_Decision]]&lt;=10,"considerable buyer",TRUE,"slow buyer")</f>
        <v>considerable buyer</v>
      </c>
      <c r="AF65" t="str" cm="1">
        <f t="array" ref="AF65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66" spans="1:32" x14ac:dyDescent="0.35">
      <c r="A66" t="s">
        <v>252</v>
      </c>
      <c r="B66">
        <v>35</v>
      </c>
      <c r="C66" t="s">
        <v>29</v>
      </c>
      <c r="D66" t="s">
        <v>30</v>
      </c>
      <c r="E66" t="s">
        <v>71</v>
      </c>
      <c r="G66" t="s">
        <v>45</v>
      </c>
      <c r="H66" t="s">
        <v>30</v>
      </c>
      <c r="I66" t="s">
        <v>253</v>
      </c>
      <c r="J66" t="s">
        <v>104</v>
      </c>
      <c r="K66">
        <v>286.43</v>
      </c>
      <c r="L66">
        <v>4</v>
      </c>
      <c r="M66">
        <f t="shared" ref="M66:M97" si="2">SUMIF(E:E,E67,K:K)</f>
        <v>10437.69</v>
      </c>
      <c r="N66" t="s">
        <v>35</v>
      </c>
      <c r="O66">
        <v>1</v>
      </c>
      <c r="P66">
        <v>3</v>
      </c>
      <c r="Q66">
        <v>0</v>
      </c>
      <c r="R66" t="s">
        <v>44</v>
      </c>
      <c r="S66" t="s">
        <v>90</v>
      </c>
      <c r="T66">
        <v>2</v>
      </c>
      <c r="U66">
        <v>3</v>
      </c>
      <c r="V66" t="s">
        <v>36</v>
      </c>
      <c r="W66" t="s">
        <v>83</v>
      </c>
      <c r="X66" t="s">
        <v>91</v>
      </c>
      <c r="Y66" s="5">
        <v>45416</v>
      </c>
      <c r="Z66" t="b">
        <v>1</v>
      </c>
      <c r="AA66" t="b">
        <v>0</v>
      </c>
      <c r="AB66" t="s">
        <v>53</v>
      </c>
      <c r="AC66" t="s">
        <v>69</v>
      </c>
      <c r="AD66">
        <v>14</v>
      </c>
      <c r="AE66" t="str" cm="1">
        <f t="array" ref="AE66">_xlfn.IFS(Practice3[[#This Row],[Time_to_Decision]]&lt;5,"quick buyer",Practice3[[#This Row],[Time_to_Decision]]&lt;=10,"considerable buyer",TRUE,"slow buyer")</f>
        <v>slow buyer</v>
      </c>
      <c r="AF66" t="str" cm="1">
        <f t="array" ref="AF66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67" spans="1:32" x14ac:dyDescent="0.35">
      <c r="A67" t="s">
        <v>254</v>
      </c>
      <c r="B67">
        <v>19</v>
      </c>
      <c r="C67" t="s">
        <v>165</v>
      </c>
      <c r="D67" t="s">
        <v>44</v>
      </c>
      <c r="E67" t="s">
        <v>71</v>
      </c>
      <c r="G67" t="s">
        <v>45</v>
      </c>
      <c r="H67" t="s">
        <v>44</v>
      </c>
      <c r="I67" t="s">
        <v>255</v>
      </c>
      <c r="J67" t="s">
        <v>111</v>
      </c>
      <c r="K67">
        <v>333.32</v>
      </c>
      <c r="L67">
        <v>8</v>
      </c>
      <c r="M67">
        <f t="shared" si="2"/>
        <v>5146.29</v>
      </c>
      <c r="N67" t="s">
        <v>82</v>
      </c>
      <c r="O67">
        <v>1</v>
      </c>
      <c r="P67">
        <v>5</v>
      </c>
      <c r="Q67">
        <v>0</v>
      </c>
      <c r="R67" t="s">
        <v>60</v>
      </c>
      <c r="S67" t="s">
        <v>90</v>
      </c>
      <c r="T67">
        <v>0</v>
      </c>
      <c r="U67">
        <v>3</v>
      </c>
      <c r="V67" t="s">
        <v>44</v>
      </c>
      <c r="W67" t="s">
        <v>61</v>
      </c>
      <c r="X67" t="s">
        <v>39</v>
      </c>
      <c r="Y67" s="5">
        <v>45417</v>
      </c>
      <c r="Z67" t="b">
        <v>1</v>
      </c>
      <c r="AA67" t="b">
        <v>0</v>
      </c>
      <c r="AB67" t="s">
        <v>78</v>
      </c>
      <c r="AC67" t="s">
        <v>41</v>
      </c>
      <c r="AD67">
        <v>3</v>
      </c>
      <c r="AE67" t="str" cm="1">
        <f t="array" ref="AE67">_xlfn.IFS(Practice3[[#This Row],[Time_to_Decision]]&lt;5,"quick buyer",Practice3[[#This Row],[Time_to_Decision]]&lt;=10,"considerable buyer",TRUE,"slow buyer")</f>
        <v>quick buyer</v>
      </c>
      <c r="AF67" t="str" cm="1">
        <f t="array" ref="AF67">_xlfn.IFS(Practice3[[#This Row],[Age]]&lt;20,"&lt;20",Practice3[[#This Row],[Age]]&lt;=30,"20-29",Practice3[[#This Row],[Age]]&lt;=40,"30-39",Practice3[[#This Row],[Age]]&lt;=50,"40-49",Practice3[[#This Row],[Age]]&lt;=60,"50-59",TRUE,"60+")</f>
        <v>&lt;20</v>
      </c>
    </row>
    <row r="68" spans="1:32" x14ac:dyDescent="0.35">
      <c r="A68" t="s">
        <v>256</v>
      </c>
      <c r="B68">
        <v>46</v>
      </c>
      <c r="C68" t="s">
        <v>93</v>
      </c>
      <c r="D68" t="s">
        <v>44</v>
      </c>
      <c r="E68" t="s">
        <v>56</v>
      </c>
      <c r="G68" t="s">
        <v>57</v>
      </c>
      <c r="H68" t="s">
        <v>44</v>
      </c>
      <c r="I68" t="s">
        <v>257</v>
      </c>
      <c r="J68" t="s">
        <v>127</v>
      </c>
      <c r="K68">
        <v>223.47</v>
      </c>
      <c r="L68">
        <v>9</v>
      </c>
      <c r="M68">
        <f t="shared" si="2"/>
        <v>7517.6</v>
      </c>
      <c r="N68" t="s">
        <v>35</v>
      </c>
      <c r="O68">
        <v>2</v>
      </c>
      <c r="P68">
        <v>1</v>
      </c>
      <c r="Q68">
        <v>1</v>
      </c>
      <c r="R68" t="s">
        <v>44</v>
      </c>
      <c r="S68" t="s">
        <v>37</v>
      </c>
      <c r="T68">
        <v>0</v>
      </c>
      <c r="U68">
        <v>2</v>
      </c>
      <c r="V68" t="s">
        <v>36</v>
      </c>
      <c r="W68" t="s">
        <v>38</v>
      </c>
      <c r="X68" t="s">
        <v>62</v>
      </c>
      <c r="Y68" s="5">
        <v>45418</v>
      </c>
      <c r="Z68" t="b">
        <v>1</v>
      </c>
      <c r="AA68" t="b">
        <v>1</v>
      </c>
      <c r="AB68" t="s">
        <v>40</v>
      </c>
      <c r="AC68" t="s">
        <v>54</v>
      </c>
      <c r="AD68">
        <v>8</v>
      </c>
      <c r="AE68" t="str" cm="1">
        <f t="array" ref="AE68">_xlfn.IFS(Practice3[[#This Row],[Time_to_Decision]]&lt;5,"quick buyer",Practice3[[#This Row],[Time_to_Decision]]&lt;=10,"considerable buyer",TRUE,"slow buyer")</f>
        <v>considerable buyer</v>
      </c>
      <c r="AF68" t="str" cm="1">
        <f t="array" ref="AF68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69" spans="1:32" x14ac:dyDescent="0.35">
      <c r="A69" t="s">
        <v>259</v>
      </c>
      <c r="B69">
        <v>23</v>
      </c>
      <c r="C69" t="s">
        <v>43</v>
      </c>
      <c r="D69" t="s">
        <v>30</v>
      </c>
      <c r="E69" t="s">
        <v>80</v>
      </c>
      <c r="G69" t="s">
        <v>57</v>
      </c>
      <c r="H69" t="s">
        <v>30</v>
      </c>
      <c r="I69" t="s">
        <v>260</v>
      </c>
      <c r="J69" t="s">
        <v>95</v>
      </c>
      <c r="K69">
        <v>414.83</v>
      </c>
      <c r="L69">
        <v>2</v>
      </c>
      <c r="M69">
        <f t="shared" si="2"/>
        <v>10437.69</v>
      </c>
      <c r="N69" t="s">
        <v>35</v>
      </c>
      <c r="O69">
        <v>2</v>
      </c>
      <c r="P69">
        <v>4</v>
      </c>
      <c r="Q69">
        <v>0.5</v>
      </c>
      <c r="R69" t="s">
        <v>44</v>
      </c>
      <c r="S69" t="s">
        <v>37</v>
      </c>
      <c r="T69">
        <v>2</v>
      </c>
      <c r="U69">
        <v>4</v>
      </c>
      <c r="V69" t="s">
        <v>44</v>
      </c>
      <c r="W69" t="s">
        <v>83</v>
      </c>
      <c r="X69" t="s">
        <v>39</v>
      </c>
      <c r="Y69" s="5">
        <v>45419</v>
      </c>
      <c r="Z69" t="b">
        <v>0</v>
      </c>
      <c r="AA69" t="b">
        <v>0</v>
      </c>
      <c r="AB69" t="s">
        <v>78</v>
      </c>
      <c r="AC69" t="s">
        <v>69</v>
      </c>
      <c r="AD69">
        <v>8</v>
      </c>
      <c r="AE69" t="str" cm="1">
        <f t="array" ref="AE69">_xlfn.IFS(Practice3[[#This Row],[Time_to_Decision]]&lt;5,"quick buyer",Practice3[[#This Row],[Time_to_Decision]]&lt;=10,"considerable buyer",TRUE,"slow buyer")</f>
        <v>considerable buyer</v>
      </c>
      <c r="AF69" t="str" cm="1">
        <f t="array" ref="AF69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70" spans="1:32" x14ac:dyDescent="0.35">
      <c r="A70" t="s">
        <v>261</v>
      </c>
      <c r="B70">
        <v>34</v>
      </c>
      <c r="C70" t="s">
        <v>29</v>
      </c>
      <c r="D70" t="s">
        <v>44</v>
      </c>
      <c r="E70" t="s">
        <v>71</v>
      </c>
      <c r="G70" t="s">
        <v>57</v>
      </c>
      <c r="H70" t="s">
        <v>44</v>
      </c>
      <c r="I70" t="s">
        <v>262</v>
      </c>
      <c r="J70" t="s">
        <v>86</v>
      </c>
      <c r="K70">
        <v>391.38</v>
      </c>
      <c r="L70">
        <v>5</v>
      </c>
      <c r="M70">
        <f t="shared" si="2"/>
        <v>7517.6</v>
      </c>
      <c r="N70" t="s">
        <v>48</v>
      </c>
      <c r="O70">
        <v>5</v>
      </c>
      <c r="P70">
        <v>2</v>
      </c>
      <c r="Q70">
        <v>2</v>
      </c>
      <c r="R70" t="s">
        <v>60</v>
      </c>
      <c r="S70" t="s">
        <v>50</v>
      </c>
      <c r="T70">
        <v>0</v>
      </c>
      <c r="U70">
        <v>7</v>
      </c>
      <c r="V70" t="s">
        <v>60</v>
      </c>
      <c r="W70" t="s">
        <v>38</v>
      </c>
      <c r="X70" t="s">
        <v>68</v>
      </c>
      <c r="Y70" s="5">
        <v>45420</v>
      </c>
      <c r="Z70" t="b">
        <v>0</v>
      </c>
      <c r="AA70" t="b">
        <v>0</v>
      </c>
      <c r="AB70" t="s">
        <v>40</v>
      </c>
      <c r="AC70" t="s">
        <v>41</v>
      </c>
      <c r="AD70">
        <v>8</v>
      </c>
      <c r="AE70" t="str" cm="1">
        <f t="array" ref="AE70">_xlfn.IFS(Practice3[[#This Row],[Time_to_Decision]]&lt;5,"quick buyer",Practice3[[#This Row],[Time_to_Decision]]&lt;=10,"considerable buyer",TRUE,"slow buyer")</f>
        <v>considerable buyer</v>
      </c>
      <c r="AF70" t="str" cm="1">
        <f t="array" ref="AF70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71" spans="1:32" x14ac:dyDescent="0.35">
      <c r="A71" t="s">
        <v>263</v>
      </c>
      <c r="B71">
        <v>48</v>
      </c>
      <c r="C71" t="s">
        <v>43</v>
      </c>
      <c r="D71" t="s">
        <v>30</v>
      </c>
      <c r="E71" t="s">
        <v>80</v>
      </c>
      <c r="G71" t="s">
        <v>32</v>
      </c>
      <c r="H71" t="s">
        <v>44</v>
      </c>
      <c r="I71" t="s">
        <v>264</v>
      </c>
      <c r="J71" t="s">
        <v>73</v>
      </c>
      <c r="K71">
        <v>368.4</v>
      </c>
      <c r="L71">
        <v>11</v>
      </c>
      <c r="M71">
        <f t="shared" si="2"/>
        <v>10437.69</v>
      </c>
      <c r="N71" t="s">
        <v>82</v>
      </c>
      <c r="O71">
        <v>2</v>
      </c>
      <c r="P71">
        <v>5</v>
      </c>
      <c r="Q71">
        <v>1</v>
      </c>
      <c r="R71" t="s">
        <v>44</v>
      </c>
      <c r="S71" t="s">
        <v>50</v>
      </c>
      <c r="T71">
        <v>0</v>
      </c>
      <c r="U71">
        <v>3</v>
      </c>
      <c r="V71" t="s">
        <v>44</v>
      </c>
      <c r="W71" t="s">
        <v>83</v>
      </c>
      <c r="X71" t="s">
        <v>39</v>
      </c>
      <c r="Y71" s="5">
        <v>45421</v>
      </c>
      <c r="Z71" t="b">
        <v>0</v>
      </c>
      <c r="AA71" t="b">
        <v>0</v>
      </c>
      <c r="AB71" t="s">
        <v>40</v>
      </c>
      <c r="AC71" t="s">
        <v>41</v>
      </c>
      <c r="AD71">
        <v>13</v>
      </c>
      <c r="AE71" t="str" cm="1">
        <f t="array" ref="AE71">_xlfn.IFS(Practice3[[#This Row],[Time_to_Decision]]&lt;5,"quick buyer",Practice3[[#This Row],[Time_to_Decision]]&lt;=10,"considerable buyer",TRUE,"slow buyer")</f>
        <v>slow buyer</v>
      </c>
      <c r="AF71" t="str" cm="1">
        <f t="array" ref="AF71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72" spans="1:32" x14ac:dyDescent="0.35">
      <c r="A72" t="s">
        <v>266</v>
      </c>
      <c r="B72">
        <v>27</v>
      </c>
      <c r="C72" t="s">
        <v>93</v>
      </c>
      <c r="D72" t="s">
        <v>30</v>
      </c>
      <c r="E72" t="s">
        <v>71</v>
      </c>
      <c r="G72" t="s">
        <v>45</v>
      </c>
      <c r="H72" t="s">
        <v>30</v>
      </c>
      <c r="I72" t="s">
        <v>267</v>
      </c>
      <c r="J72" t="s">
        <v>73</v>
      </c>
      <c r="K72">
        <v>328.36</v>
      </c>
      <c r="L72">
        <v>11</v>
      </c>
      <c r="M72">
        <f t="shared" si="2"/>
        <v>7517.6</v>
      </c>
      <c r="N72" t="s">
        <v>48</v>
      </c>
      <c r="O72">
        <v>1</v>
      </c>
      <c r="P72">
        <v>4</v>
      </c>
      <c r="Q72">
        <v>2</v>
      </c>
      <c r="R72" t="s">
        <v>44</v>
      </c>
      <c r="S72" t="s">
        <v>90</v>
      </c>
      <c r="T72">
        <v>0</v>
      </c>
      <c r="U72">
        <v>4</v>
      </c>
      <c r="V72" t="s">
        <v>36</v>
      </c>
      <c r="W72" t="s">
        <v>38</v>
      </c>
      <c r="X72" t="s">
        <v>91</v>
      </c>
      <c r="Y72" s="5">
        <v>45422</v>
      </c>
      <c r="Z72" t="b">
        <v>0</v>
      </c>
      <c r="AA72" t="b">
        <v>1</v>
      </c>
      <c r="AB72" t="s">
        <v>53</v>
      </c>
      <c r="AC72" t="s">
        <v>69</v>
      </c>
      <c r="AD72">
        <v>4</v>
      </c>
      <c r="AE72" t="str" cm="1">
        <f t="array" ref="AE72">_xlfn.IFS(Practice3[[#This Row],[Time_to_Decision]]&lt;5,"quick buyer",Practice3[[#This Row],[Time_to_Decision]]&lt;=10,"considerable buyer",TRUE,"slow buyer")</f>
        <v>quick buyer</v>
      </c>
      <c r="AF72" t="str" cm="1">
        <f t="array" ref="AF72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73" spans="1:32" x14ac:dyDescent="0.35">
      <c r="A73" t="s">
        <v>268</v>
      </c>
      <c r="B73">
        <v>37</v>
      </c>
      <c r="C73" t="s">
        <v>29</v>
      </c>
      <c r="D73" t="s">
        <v>30</v>
      </c>
      <c r="E73" t="s">
        <v>80</v>
      </c>
      <c r="G73" t="s">
        <v>32</v>
      </c>
      <c r="H73" t="s">
        <v>30</v>
      </c>
      <c r="I73" t="s">
        <v>269</v>
      </c>
      <c r="J73" t="s">
        <v>67</v>
      </c>
      <c r="K73">
        <v>424.39</v>
      </c>
      <c r="L73">
        <v>9</v>
      </c>
      <c r="M73">
        <f t="shared" si="2"/>
        <v>7484.2200000000012</v>
      </c>
      <c r="N73" t="s">
        <v>35</v>
      </c>
      <c r="O73">
        <v>3</v>
      </c>
      <c r="P73">
        <v>1</v>
      </c>
      <c r="Q73">
        <v>1</v>
      </c>
      <c r="R73" t="s">
        <v>44</v>
      </c>
      <c r="S73" t="s">
        <v>37</v>
      </c>
      <c r="T73">
        <v>0</v>
      </c>
      <c r="U73">
        <v>7</v>
      </c>
      <c r="V73" t="s">
        <v>60</v>
      </c>
      <c r="W73" t="s">
        <v>61</v>
      </c>
      <c r="X73" t="s">
        <v>39</v>
      </c>
      <c r="Y73" s="5">
        <v>45423</v>
      </c>
      <c r="Z73" t="b">
        <v>1</v>
      </c>
      <c r="AA73" t="b">
        <v>0</v>
      </c>
      <c r="AB73" t="s">
        <v>53</v>
      </c>
      <c r="AC73" t="s">
        <v>41</v>
      </c>
      <c r="AD73">
        <v>13</v>
      </c>
      <c r="AE73" t="str" cm="1">
        <f t="array" ref="AE73">_xlfn.IFS(Practice3[[#This Row],[Time_to_Decision]]&lt;5,"quick buyer",Practice3[[#This Row],[Time_to_Decision]]&lt;=10,"considerable buyer",TRUE,"slow buyer")</f>
        <v>slow buyer</v>
      </c>
      <c r="AF73" t="str" cm="1">
        <f t="array" ref="AF73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74" spans="1:32" x14ac:dyDescent="0.35">
      <c r="A74" t="s">
        <v>271</v>
      </c>
      <c r="B74">
        <v>47</v>
      </c>
      <c r="C74" t="s">
        <v>43</v>
      </c>
      <c r="D74" t="s">
        <v>44</v>
      </c>
      <c r="E74" t="s">
        <v>31</v>
      </c>
      <c r="G74" t="s">
        <v>45</v>
      </c>
      <c r="H74" t="s">
        <v>44</v>
      </c>
      <c r="I74" t="s">
        <v>272</v>
      </c>
      <c r="J74" t="s">
        <v>158</v>
      </c>
      <c r="K74">
        <v>197.12</v>
      </c>
      <c r="L74">
        <v>10</v>
      </c>
      <c r="M74">
        <f t="shared" si="2"/>
        <v>5146.29</v>
      </c>
      <c r="N74" t="s">
        <v>48</v>
      </c>
      <c r="O74">
        <v>4</v>
      </c>
      <c r="P74">
        <v>4</v>
      </c>
      <c r="Q74">
        <v>0</v>
      </c>
      <c r="R74" t="s">
        <v>60</v>
      </c>
      <c r="S74" t="s">
        <v>37</v>
      </c>
      <c r="T74">
        <v>1</v>
      </c>
      <c r="U74">
        <v>1</v>
      </c>
      <c r="V74" t="s">
        <v>49</v>
      </c>
      <c r="W74" t="s">
        <v>38</v>
      </c>
      <c r="X74" t="s">
        <v>68</v>
      </c>
      <c r="Y74" s="5">
        <v>45424</v>
      </c>
      <c r="Z74" t="b">
        <v>1</v>
      </c>
      <c r="AA74" t="b">
        <v>1</v>
      </c>
      <c r="AB74" t="s">
        <v>53</v>
      </c>
      <c r="AC74" t="s">
        <v>54</v>
      </c>
      <c r="AD74">
        <v>10</v>
      </c>
      <c r="AE74" t="str" cm="1">
        <f t="array" ref="AE74">_xlfn.IFS(Practice3[[#This Row],[Time_to_Decision]]&lt;5,"quick buyer",Practice3[[#This Row],[Time_to_Decision]]&lt;=10,"considerable buyer",TRUE,"slow buyer")</f>
        <v>considerable buyer</v>
      </c>
      <c r="AF74" t="str" cm="1">
        <f t="array" ref="AF74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75" spans="1:32" x14ac:dyDescent="0.35">
      <c r="A75" t="s">
        <v>274</v>
      </c>
      <c r="B75">
        <v>45</v>
      </c>
      <c r="C75" t="s">
        <v>43</v>
      </c>
      <c r="D75" t="s">
        <v>44</v>
      </c>
      <c r="E75" t="s">
        <v>56</v>
      </c>
      <c r="G75" t="s">
        <v>32</v>
      </c>
      <c r="H75" t="s">
        <v>44</v>
      </c>
      <c r="I75" t="s">
        <v>275</v>
      </c>
      <c r="J75" t="s">
        <v>86</v>
      </c>
      <c r="K75">
        <v>454.57</v>
      </c>
      <c r="L75">
        <v>9</v>
      </c>
      <c r="M75">
        <f t="shared" si="2"/>
        <v>7517.6</v>
      </c>
      <c r="N75" t="s">
        <v>35</v>
      </c>
      <c r="O75">
        <v>2</v>
      </c>
      <c r="P75">
        <v>5</v>
      </c>
      <c r="Q75">
        <v>1</v>
      </c>
      <c r="R75" t="s">
        <v>60</v>
      </c>
      <c r="S75" t="s">
        <v>37</v>
      </c>
      <c r="T75">
        <v>0</v>
      </c>
      <c r="U75">
        <v>1</v>
      </c>
      <c r="V75" t="s">
        <v>49</v>
      </c>
      <c r="W75" t="s">
        <v>61</v>
      </c>
      <c r="X75" t="s">
        <v>62</v>
      </c>
      <c r="Y75" s="5">
        <v>45425</v>
      </c>
      <c r="Z75" t="b">
        <v>1</v>
      </c>
      <c r="AA75" t="b">
        <v>1</v>
      </c>
      <c r="AB75" t="s">
        <v>53</v>
      </c>
      <c r="AC75" t="s">
        <v>69</v>
      </c>
      <c r="AD75">
        <v>1</v>
      </c>
      <c r="AE75" t="str" cm="1">
        <f t="array" ref="AE75">_xlfn.IFS(Practice3[[#This Row],[Time_to_Decision]]&lt;5,"quick buyer",Practice3[[#This Row],[Time_to_Decision]]&lt;=10,"considerable buyer",TRUE,"slow buyer")</f>
        <v>quick buyer</v>
      </c>
      <c r="AF75" t="str" cm="1">
        <f t="array" ref="AF75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76" spans="1:32" x14ac:dyDescent="0.35">
      <c r="A76" t="s">
        <v>277</v>
      </c>
      <c r="B76">
        <v>37</v>
      </c>
      <c r="C76" t="s">
        <v>43</v>
      </c>
      <c r="D76" t="s">
        <v>30</v>
      </c>
      <c r="E76" t="s">
        <v>80</v>
      </c>
      <c r="G76" t="s">
        <v>45</v>
      </c>
      <c r="H76" t="s">
        <v>44</v>
      </c>
      <c r="I76" t="s">
        <v>278</v>
      </c>
      <c r="J76" t="s">
        <v>127</v>
      </c>
      <c r="K76">
        <v>298.38</v>
      </c>
      <c r="L76">
        <v>4</v>
      </c>
      <c r="M76">
        <f t="shared" si="2"/>
        <v>7517.6</v>
      </c>
      <c r="N76" t="s">
        <v>35</v>
      </c>
      <c r="O76">
        <v>3</v>
      </c>
      <c r="P76">
        <v>4</v>
      </c>
      <c r="Q76">
        <v>2</v>
      </c>
      <c r="R76" t="s">
        <v>44</v>
      </c>
      <c r="S76" t="s">
        <v>90</v>
      </c>
      <c r="T76">
        <v>0</v>
      </c>
      <c r="U76">
        <v>2</v>
      </c>
      <c r="V76" t="s">
        <v>60</v>
      </c>
      <c r="W76" t="s">
        <v>38</v>
      </c>
      <c r="X76" t="s">
        <v>91</v>
      </c>
      <c r="Y76" s="5">
        <v>45426</v>
      </c>
      <c r="Z76" t="b">
        <v>0</v>
      </c>
      <c r="AA76" t="b">
        <v>1</v>
      </c>
      <c r="AB76" t="s">
        <v>40</v>
      </c>
      <c r="AC76" t="s">
        <v>54</v>
      </c>
      <c r="AD76">
        <v>3</v>
      </c>
      <c r="AE76" t="str" cm="1">
        <f t="array" ref="AE76">_xlfn.IFS(Practice3[[#This Row],[Time_to_Decision]]&lt;5,"quick buyer",Practice3[[#This Row],[Time_to_Decision]]&lt;=10,"considerable buyer",TRUE,"slow buyer")</f>
        <v>quick buyer</v>
      </c>
      <c r="AF76" t="str" cm="1">
        <f t="array" ref="AF76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77" spans="1:32" x14ac:dyDescent="0.35">
      <c r="A77" t="s">
        <v>280</v>
      </c>
      <c r="B77">
        <v>36</v>
      </c>
      <c r="C77" t="s">
        <v>43</v>
      </c>
      <c r="D77" t="s">
        <v>44</v>
      </c>
      <c r="E77" t="s">
        <v>80</v>
      </c>
      <c r="G77" t="s">
        <v>45</v>
      </c>
      <c r="H77" t="s">
        <v>44</v>
      </c>
      <c r="I77" t="s">
        <v>281</v>
      </c>
      <c r="J77" t="s">
        <v>209</v>
      </c>
      <c r="K77">
        <v>111.7</v>
      </c>
      <c r="L77">
        <v>6</v>
      </c>
      <c r="M77">
        <f t="shared" si="2"/>
        <v>7484.2200000000012</v>
      </c>
      <c r="N77" t="s">
        <v>82</v>
      </c>
      <c r="O77">
        <v>4</v>
      </c>
      <c r="P77">
        <v>5</v>
      </c>
      <c r="Q77">
        <v>0</v>
      </c>
      <c r="R77" t="s">
        <v>49</v>
      </c>
      <c r="S77" t="s">
        <v>37</v>
      </c>
      <c r="T77">
        <v>2</v>
      </c>
      <c r="U77">
        <v>5</v>
      </c>
      <c r="V77" t="s">
        <v>44</v>
      </c>
      <c r="W77" t="s">
        <v>38</v>
      </c>
      <c r="X77" t="s">
        <v>39</v>
      </c>
      <c r="Y77" s="5">
        <v>45427</v>
      </c>
      <c r="Z77" t="b">
        <v>0</v>
      </c>
      <c r="AA77" t="b">
        <v>0</v>
      </c>
      <c r="AB77" t="s">
        <v>78</v>
      </c>
      <c r="AC77" t="s">
        <v>54</v>
      </c>
      <c r="AD77">
        <v>7</v>
      </c>
      <c r="AE77" t="str" cm="1">
        <f t="array" ref="AE77">_xlfn.IFS(Practice3[[#This Row],[Time_to_Decision]]&lt;5,"quick buyer",Practice3[[#This Row],[Time_to_Decision]]&lt;=10,"considerable buyer",TRUE,"slow buyer")</f>
        <v>considerable buyer</v>
      </c>
      <c r="AF77" t="str" cm="1">
        <f t="array" ref="AF77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78" spans="1:32" x14ac:dyDescent="0.35">
      <c r="A78" t="s">
        <v>282</v>
      </c>
      <c r="B78">
        <v>34</v>
      </c>
      <c r="C78" t="s">
        <v>43</v>
      </c>
      <c r="D78" t="s">
        <v>30</v>
      </c>
      <c r="E78" t="s">
        <v>31</v>
      </c>
      <c r="G78" t="s">
        <v>32</v>
      </c>
      <c r="H78" t="s">
        <v>30</v>
      </c>
      <c r="I78" t="s">
        <v>283</v>
      </c>
      <c r="J78" t="s">
        <v>209</v>
      </c>
      <c r="K78">
        <v>373.69</v>
      </c>
      <c r="L78">
        <v>10</v>
      </c>
      <c r="M78">
        <f t="shared" si="2"/>
        <v>10437.69</v>
      </c>
      <c r="N78" t="s">
        <v>82</v>
      </c>
      <c r="O78">
        <v>3</v>
      </c>
      <c r="P78">
        <v>2</v>
      </c>
      <c r="Q78">
        <v>2</v>
      </c>
      <c r="R78" t="s">
        <v>49</v>
      </c>
      <c r="S78" t="s">
        <v>50</v>
      </c>
      <c r="T78">
        <v>1</v>
      </c>
      <c r="U78">
        <v>8</v>
      </c>
      <c r="V78" t="s">
        <v>36</v>
      </c>
      <c r="W78" t="s">
        <v>38</v>
      </c>
      <c r="X78" t="s">
        <v>39</v>
      </c>
      <c r="Y78" s="5">
        <v>45428</v>
      </c>
      <c r="Z78" t="b">
        <v>0</v>
      </c>
      <c r="AA78" t="b">
        <v>1</v>
      </c>
      <c r="AB78" t="s">
        <v>64</v>
      </c>
      <c r="AC78" t="s">
        <v>69</v>
      </c>
      <c r="AD78">
        <v>14</v>
      </c>
      <c r="AE78" t="str" cm="1">
        <f t="array" ref="AE78">_xlfn.IFS(Practice3[[#This Row],[Time_to_Decision]]&lt;5,"quick buyer",Practice3[[#This Row],[Time_to_Decision]]&lt;=10,"considerable buyer",TRUE,"slow buyer")</f>
        <v>slow buyer</v>
      </c>
      <c r="AF78" t="str" cm="1">
        <f t="array" ref="AF78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79" spans="1:32" x14ac:dyDescent="0.35">
      <c r="A79" t="s">
        <v>284</v>
      </c>
      <c r="B79">
        <v>37</v>
      </c>
      <c r="C79" t="s">
        <v>43</v>
      </c>
      <c r="D79" t="s">
        <v>44</v>
      </c>
      <c r="E79" t="s">
        <v>71</v>
      </c>
      <c r="G79" t="s">
        <v>57</v>
      </c>
      <c r="H79" t="s">
        <v>30</v>
      </c>
      <c r="I79" t="s">
        <v>285</v>
      </c>
      <c r="J79" t="s">
        <v>286</v>
      </c>
      <c r="K79">
        <v>354.87</v>
      </c>
      <c r="L79">
        <v>5</v>
      </c>
      <c r="M79">
        <f t="shared" si="2"/>
        <v>10437.69</v>
      </c>
      <c r="N79" t="s">
        <v>48</v>
      </c>
      <c r="O79">
        <v>1</v>
      </c>
      <c r="P79">
        <v>1</v>
      </c>
      <c r="Q79">
        <v>0</v>
      </c>
      <c r="R79" t="s">
        <v>36</v>
      </c>
      <c r="S79" t="s">
        <v>50</v>
      </c>
      <c r="T79">
        <v>2</v>
      </c>
      <c r="U79">
        <v>4</v>
      </c>
      <c r="V79" t="s">
        <v>36</v>
      </c>
      <c r="W79" t="s">
        <v>83</v>
      </c>
      <c r="X79" t="s">
        <v>91</v>
      </c>
      <c r="Y79" s="5">
        <v>45429</v>
      </c>
      <c r="Z79" t="b">
        <v>0</v>
      </c>
      <c r="AA79" t="b">
        <v>1</v>
      </c>
      <c r="AB79" t="s">
        <v>78</v>
      </c>
      <c r="AC79" t="s">
        <v>69</v>
      </c>
      <c r="AD79">
        <v>12</v>
      </c>
      <c r="AE79" t="str" cm="1">
        <f t="array" ref="AE79">_xlfn.IFS(Practice3[[#This Row],[Time_to_Decision]]&lt;5,"quick buyer",Practice3[[#This Row],[Time_to_Decision]]&lt;=10,"considerable buyer",TRUE,"slow buyer")</f>
        <v>slow buyer</v>
      </c>
      <c r="AF79" t="str" cm="1">
        <f t="array" ref="AF79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80" spans="1:32" x14ac:dyDescent="0.35">
      <c r="A80" t="s">
        <v>288</v>
      </c>
      <c r="B80">
        <v>18</v>
      </c>
      <c r="C80" t="s">
        <v>29</v>
      </c>
      <c r="D80" t="s">
        <v>30</v>
      </c>
      <c r="E80" t="s">
        <v>71</v>
      </c>
      <c r="G80" t="s">
        <v>32</v>
      </c>
      <c r="H80" t="s">
        <v>44</v>
      </c>
      <c r="I80" t="s">
        <v>289</v>
      </c>
      <c r="J80" t="s">
        <v>98</v>
      </c>
      <c r="K80">
        <v>214.48</v>
      </c>
      <c r="L80">
        <v>2</v>
      </c>
      <c r="M80">
        <f t="shared" si="2"/>
        <v>7517.6</v>
      </c>
      <c r="N80" t="s">
        <v>82</v>
      </c>
      <c r="O80">
        <v>4</v>
      </c>
      <c r="P80">
        <v>2</v>
      </c>
      <c r="Q80">
        <v>2</v>
      </c>
      <c r="R80" t="s">
        <v>36</v>
      </c>
      <c r="S80" t="s">
        <v>90</v>
      </c>
      <c r="T80">
        <v>1</v>
      </c>
      <c r="U80">
        <v>3</v>
      </c>
      <c r="V80" t="s">
        <v>36</v>
      </c>
      <c r="W80" t="s">
        <v>38</v>
      </c>
      <c r="X80" t="s">
        <v>91</v>
      </c>
      <c r="Y80" s="5">
        <v>45430</v>
      </c>
      <c r="Z80" t="b">
        <v>1</v>
      </c>
      <c r="AA80" t="b">
        <v>1</v>
      </c>
      <c r="AB80" t="s">
        <v>53</v>
      </c>
      <c r="AC80" t="s">
        <v>69</v>
      </c>
      <c r="AD80">
        <v>2</v>
      </c>
      <c r="AE80" t="str" cm="1">
        <f t="array" ref="AE80">_xlfn.IFS(Practice3[[#This Row],[Time_to_Decision]]&lt;5,"quick buyer",Practice3[[#This Row],[Time_to_Decision]]&lt;=10,"considerable buyer",TRUE,"slow buyer")</f>
        <v>quick buyer</v>
      </c>
      <c r="AF80" t="str" cm="1">
        <f t="array" ref="AF80">_xlfn.IFS(Practice3[[#This Row],[Age]]&lt;20,"&lt;20",Practice3[[#This Row],[Age]]&lt;=30,"20-29",Practice3[[#This Row],[Age]]&lt;=40,"30-39",Practice3[[#This Row],[Age]]&lt;=50,"40-49",Practice3[[#This Row],[Age]]&lt;=60,"50-59",TRUE,"60+")</f>
        <v>&lt;20</v>
      </c>
    </row>
    <row r="81" spans="1:32" x14ac:dyDescent="0.35">
      <c r="A81" t="s">
        <v>291</v>
      </c>
      <c r="B81">
        <v>20</v>
      </c>
      <c r="C81" t="s">
        <v>43</v>
      </c>
      <c r="D81" t="s">
        <v>44</v>
      </c>
      <c r="E81" t="s">
        <v>80</v>
      </c>
      <c r="G81" t="s">
        <v>32</v>
      </c>
      <c r="H81" t="s">
        <v>30</v>
      </c>
      <c r="I81" t="s">
        <v>292</v>
      </c>
      <c r="J81" t="s">
        <v>130</v>
      </c>
      <c r="K81">
        <v>399.58</v>
      </c>
      <c r="L81">
        <v>6</v>
      </c>
      <c r="M81">
        <f t="shared" si="2"/>
        <v>10437.69</v>
      </c>
      <c r="N81" t="s">
        <v>48</v>
      </c>
      <c r="O81">
        <v>3</v>
      </c>
      <c r="P81">
        <v>4</v>
      </c>
      <c r="Q81">
        <v>0</v>
      </c>
      <c r="R81" t="s">
        <v>36</v>
      </c>
      <c r="S81" t="s">
        <v>90</v>
      </c>
      <c r="T81">
        <v>1</v>
      </c>
      <c r="U81">
        <v>8</v>
      </c>
      <c r="V81" t="s">
        <v>60</v>
      </c>
      <c r="W81" t="s">
        <v>38</v>
      </c>
      <c r="X81" t="s">
        <v>68</v>
      </c>
      <c r="Y81" s="5">
        <v>45431</v>
      </c>
      <c r="Z81" t="b">
        <v>1</v>
      </c>
      <c r="AA81" t="b">
        <v>0</v>
      </c>
      <c r="AB81" t="s">
        <v>40</v>
      </c>
      <c r="AC81" t="s">
        <v>54</v>
      </c>
      <c r="AD81">
        <v>7</v>
      </c>
      <c r="AE81" t="str" cm="1">
        <f t="array" ref="AE81">_xlfn.IFS(Practice3[[#This Row],[Time_to_Decision]]&lt;5,"quick buyer",Practice3[[#This Row],[Time_to_Decision]]&lt;=10,"considerable buyer",TRUE,"slow buyer")</f>
        <v>considerable buyer</v>
      </c>
      <c r="AF81" t="str" cm="1">
        <f t="array" ref="AF81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82" spans="1:32" x14ac:dyDescent="0.35">
      <c r="A82" t="s">
        <v>294</v>
      </c>
      <c r="B82">
        <v>27</v>
      </c>
      <c r="C82" t="s">
        <v>29</v>
      </c>
      <c r="D82" t="s">
        <v>44</v>
      </c>
      <c r="E82" t="s">
        <v>71</v>
      </c>
      <c r="G82" t="s">
        <v>45</v>
      </c>
      <c r="H82" t="s">
        <v>30</v>
      </c>
      <c r="I82" t="s">
        <v>295</v>
      </c>
      <c r="J82" t="s">
        <v>104</v>
      </c>
      <c r="K82">
        <v>380.99</v>
      </c>
      <c r="L82">
        <v>7</v>
      </c>
      <c r="M82">
        <f t="shared" si="2"/>
        <v>7484.2200000000012</v>
      </c>
      <c r="N82" t="s">
        <v>35</v>
      </c>
      <c r="O82">
        <v>1</v>
      </c>
      <c r="P82">
        <v>2</v>
      </c>
      <c r="Q82">
        <v>1</v>
      </c>
      <c r="R82" t="s">
        <v>60</v>
      </c>
      <c r="S82" t="s">
        <v>37</v>
      </c>
      <c r="T82">
        <v>0</v>
      </c>
      <c r="U82">
        <v>1</v>
      </c>
      <c r="V82" t="s">
        <v>49</v>
      </c>
      <c r="W82" t="s">
        <v>83</v>
      </c>
      <c r="X82" t="s">
        <v>91</v>
      </c>
      <c r="Y82" s="5">
        <v>45432</v>
      </c>
      <c r="Z82" t="b">
        <v>1</v>
      </c>
      <c r="AA82" t="b">
        <v>1</v>
      </c>
      <c r="AB82" t="s">
        <v>40</v>
      </c>
      <c r="AC82" t="s">
        <v>41</v>
      </c>
      <c r="AD82">
        <v>8</v>
      </c>
      <c r="AE82" t="str" cm="1">
        <f t="array" ref="AE82">_xlfn.IFS(Practice3[[#This Row],[Time_to_Decision]]&lt;5,"quick buyer",Practice3[[#This Row],[Time_to_Decision]]&lt;=10,"considerable buyer",TRUE,"slow buyer")</f>
        <v>considerable buyer</v>
      </c>
      <c r="AF82" t="str" cm="1">
        <f t="array" ref="AF82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83" spans="1:32" x14ac:dyDescent="0.35">
      <c r="A83" t="s">
        <v>296</v>
      </c>
      <c r="B83">
        <v>36</v>
      </c>
      <c r="C83" t="s">
        <v>43</v>
      </c>
      <c r="D83" t="s">
        <v>30</v>
      </c>
      <c r="E83" t="s">
        <v>31</v>
      </c>
      <c r="G83" t="s">
        <v>45</v>
      </c>
      <c r="H83" t="s">
        <v>44</v>
      </c>
      <c r="I83" t="s">
        <v>297</v>
      </c>
      <c r="J83" t="s">
        <v>47</v>
      </c>
      <c r="K83">
        <v>79</v>
      </c>
      <c r="L83">
        <v>10</v>
      </c>
      <c r="M83">
        <f t="shared" si="2"/>
        <v>7484.2200000000012</v>
      </c>
      <c r="N83" t="s">
        <v>82</v>
      </c>
      <c r="O83">
        <v>1</v>
      </c>
      <c r="P83">
        <v>2</v>
      </c>
      <c r="Q83">
        <v>1</v>
      </c>
      <c r="R83" t="s">
        <v>49</v>
      </c>
      <c r="S83" t="s">
        <v>90</v>
      </c>
      <c r="T83">
        <v>2</v>
      </c>
      <c r="U83">
        <v>6</v>
      </c>
      <c r="V83" t="s">
        <v>60</v>
      </c>
      <c r="W83" t="s">
        <v>61</v>
      </c>
      <c r="X83" t="s">
        <v>91</v>
      </c>
      <c r="Y83" s="5">
        <v>45433</v>
      </c>
      <c r="Z83" t="b">
        <v>0</v>
      </c>
      <c r="AA83" t="b">
        <v>1</v>
      </c>
      <c r="AB83" t="s">
        <v>78</v>
      </c>
      <c r="AC83" t="s">
        <v>54</v>
      </c>
      <c r="AD83">
        <v>7</v>
      </c>
      <c r="AE83" t="str" cm="1">
        <f t="array" ref="AE83">_xlfn.IFS(Practice3[[#This Row],[Time_to_Decision]]&lt;5,"quick buyer",Practice3[[#This Row],[Time_to_Decision]]&lt;=10,"considerable buyer",TRUE,"slow buyer")</f>
        <v>considerable buyer</v>
      </c>
      <c r="AF83" t="str" cm="1">
        <f t="array" ref="AF83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84" spans="1:32" x14ac:dyDescent="0.35">
      <c r="A84" t="s">
        <v>299</v>
      </c>
      <c r="B84">
        <v>46</v>
      </c>
      <c r="C84" t="s">
        <v>29</v>
      </c>
      <c r="D84" t="s">
        <v>30</v>
      </c>
      <c r="E84" t="s">
        <v>31</v>
      </c>
      <c r="G84" t="s">
        <v>32</v>
      </c>
      <c r="H84" t="s">
        <v>30</v>
      </c>
      <c r="I84" t="s">
        <v>300</v>
      </c>
      <c r="J84" t="s">
        <v>178</v>
      </c>
      <c r="K84">
        <v>113.88</v>
      </c>
      <c r="L84">
        <v>2</v>
      </c>
      <c r="M84">
        <f t="shared" si="2"/>
        <v>7484.2200000000012</v>
      </c>
      <c r="N84" t="s">
        <v>82</v>
      </c>
      <c r="O84">
        <v>5</v>
      </c>
      <c r="P84">
        <v>2</v>
      </c>
      <c r="Q84">
        <v>2</v>
      </c>
      <c r="R84" t="s">
        <v>49</v>
      </c>
      <c r="S84" t="s">
        <v>50</v>
      </c>
      <c r="T84">
        <v>2</v>
      </c>
      <c r="U84">
        <v>4</v>
      </c>
      <c r="V84" t="s">
        <v>44</v>
      </c>
      <c r="W84" t="s">
        <v>38</v>
      </c>
      <c r="X84" t="s">
        <v>51</v>
      </c>
      <c r="Y84" s="5">
        <v>45434</v>
      </c>
      <c r="Z84" t="b">
        <v>0</v>
      </c>
      <c r="AA84" t="b">
        <v>0</v>
      </c>
      <c r="AB84" t="s">
        <v>53</v>
      </c>
      <c r="AC84" t="s">
        <v>69</v>
      </c>
      <c r="AD84">
        <v>9</v>
      </c>
      <c r="AE84" t="str" cm="1">
        <f t="array" ref="AE84">_xlfn.IFS(Practice3[[#This Row],[Time_to_Decision]]&lt;5,"quick buyer",Practice3[[#This Row],[Time_to_Decision]]&lt;=10,"considerable buyer",TRUE,"slow buyer")</f>
        <v>considerable buyer</v>
      </c>
      <c r="AF84" t="str" cm="1">
        <f t="array" ref="AF84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85" spans="1:32" x14ac:dyDescent="0.35">
      <c r="A85" t="s">
        <v>302</v>
      </c>
      <c r="B85">
        <v>26</v>
      </c>
      <c r="C85" t="s">
        <v>43</v>
      </c>
      <c r="D85" t="s">
        <v>30</v>
      </c>
      <c r="E85" t="s">
        <v>31</v>
      </c>
      <c r="G85" t="s">
        <v>45</v>
      </c>
      <c r="H85" t="s">
        <v>30</v>
      </c>
      <c r="I85" t="s">
        <v>303</v>
      </c>
      <c r="J85" t="s">
        <v>222</v>
      </c>
      <c r="K85">
        <v>121.57</v>
      </c>
      <c r="L85">
        <v>4</v>
      </c>
      <c r="M85">
        <f t="shared" si="2"/>
        <v>7517.6</v>
      </c>
      <c r="N85" t="s">
        <v>35</v>
      </c>
      <c r="O85">
        <v>1</v>
      </c>
      <c r="P85">
        <v>5</v>
      </c>
      <c r="Q85">
        <v>0</v>
      </c>
      <c r="R85" t="s">
        <v>44</v>
      </c>
      <c r="S85" t="s">
        <v>50</v>
      </c>
      <c r="T85">
        <v>0</v>
      </c>
      <c r="U85">
        <v>4</v>
      </c>
      <c r="V85" t="s">
        <v>44</v>
      </c>
      <c r="W85" t="s">
        <v>83</v>
      </c>
      <c r="X85" t="s">
        <v>68</v>
      </c>
      <c r="Y85" s="5">
        <v>45435</v>
      </c>
      <c r="Z85" t="b">
        <v>0</v>
      </c>
      <c r="AA85" t="b">
        <v>1</v>
      </c>
      <c r="AB85" t="s">
        <v>64</v>
      </c>
      <c r="AC85" t="s">
        <v>41</v>
      </c>
      <c r="AD85">
        <v>13</v>
      </c>
      <c r="AE85" t="str" cm="1">
        <f t="array" ref="AE85">_xlfn.IFS(Practice3[[#This Row],[Time_to_Decision]]&lt;5,"quick buyer",Practice3[[#This Row],[Time_to_Decision]]&lt;=10,"considerable buyer",TRUE,"slow buyer")</f>
        <v>slow buyer</v>
      </c>
      <c r="AF85" t="str" cm="1">
        <f t="array" ref="AF85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86" spans="1:32" x14ac:dyDescent="0.35">
      <c r="A86" t="s">
        <v>304</v>
      </c>
      <c r="B86">
        <v>21</v>
      </c>
      <c r="C86" t="s">
        <v>29</v>
      </c>
      <c r="D86" t="s">
        <v>44</v>
      </c>
      <c r="E86" t="s">
        <v>80</v>
      </c>
      <c r="G86" t="s">
        <v>45</v>
      </c>
      <c r="H86" t="s">
        <v>30</v>
      </c>
      <c r="I86" t="s">
        <v>305</v>
      </c>
      <c r="J86" t="s">
        <v>158</v>
      </c>
      <c r="K86">
        <v>215.54</v>
      </c>
      <c r="L86">
        <v>11</v>
      </c>
      <c r="M86">
        <f t="shared" si="2"/>
        <v>7484.2200000000012</v>
      </c>
      <c r="N86" t="s">
        <v>82</v>
      </c>
      <c r="O86">
        <v>3</v>
      </c>
      <c r="P86">
        <v>1</v>
      </c>
      <c r="Q86">
        <v>2</v>
      </c>
      <c r="R86" t="s">
        <v>60</v>
      </c>
      <c r="S86" t="s">
        <v>37</v>
      </c>
      <c r="T86">
        <v>2</v>
      </c>
      <c r="U86">
        <v>6</v>
      </c>
      <c r="V86" t="s">
        <v>44</v>
      </c>
      <c r="W86" t="s">
        <v>83</v>
      </c>
      <c r="X86" t="s">
        <v>39</v>
      </c>
      <c r="Y86" s="5">
        <v>45436</v>
      </c>
      <c r="Z86" t="b">
        <v>1</v>
      </c>
      <c r="AA86" t="b">
        <v>1</v>
      </c>
      <c r="AB86" t="s">
        <v>78</v>
      </c>
      <c r="AC86" t="s">
        <v>41</v>
      </c>
      <c r="AD86">
        <v>10</v>
      </c>
      <c r="AE86" t="str" cm="1">
        <f t="array" ref="AE86">_xlfn.IFS(Practice3[[#This Row],[Time_to_Decision]]&lt;5,"quick buyer",Practice3[[#This Row],[Time_to_Decision]]&lt;=10,"considerable buyer",TRUE,"slow buyer")</f>
        <v>considerable buyer</v>
      </c>
      <c r="AF86" t="str" cm="1">
        <f t="array" ref="AF86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87" spans="1:32" x14ac:dyDescent="0.35">
      <c r="A87" t="s">
        <v>306</v>
      </c>
      <c r="B87">
        <v>43</v>
      </c>
      <c r="C87" t="s">
        <v>43</v>
      </c>
      <c r="D87" t="s">
        <v>44</v>
      </c>
      <c r="E87" t="s">
        <v>31</v>
      </c>
      <c r="G87" t="s">
        <v>32</v>
      </c>
      <c r="H87" t="s">
        <v>44</v>
      </c>
      <c r="I87" t="s">
        <v>307</v>
      </c>
      <c r="J87" t="s">
        <v>73</v>
      </c>
      <c r="K87">
        <v>87.03</v>
      </c>
      <c r="L87">
        <v>10</v>
      </c>
      <c r="M87">
        <f t="shared" si="2"/>
        <v>7517.6</v>
      </c>
      <c r="N87" t="s">
        <v>35</v>
      </c>
      <c r="O87">
        <v>1</v>
      </c>
      <c r="P87">
        <v>1</v>
      </c>
      <c r="Q87">
        <v>0</v>
      </c>
      <c r="R87" t="s">
        <v>60</v>
      </c>
      <c r="S87" t="s">
        <v>90</v>
      </c>
      <c r="T87">
        <v>1</v>
      </c>
      <c r="U87">
        <v>5</v>
      </c>
      <c r="V87" t="s">
        <v>44</v>
      </c>
      <c r="W87" t="s">
        <v>83</v>
      </c>
      <c r="X87" t="s">
        <v>51</v>
      </c>
      <c r="Y87" s="5">
        <v>45437</v>
      </c>
      <c r="Z87" t="b">
        <v>0</v>
      </c>
      <c r="AA87" t="b">
        <v>1</v>
      </c>
      <c r="AB87" t="s">
        <v>40</v>
      </c>
      <c r="AC87" t="s">
        <v>41</v>
      </c>
      <c r="AD87">
        <v>7</v>
      </c>
      <c r="AE87" t="str" cm="1">
        <f t="array" ref="AE87">_xlfn.IFS(Practice3[[#This Row],[Time_to_Decision]]&lt;5,"quick buyer",Practice3[[#This Row],[Time_to_Decision]]&lt;=10,"considerable buyer",TRUE,"slow buyer")</f>
        <v>considerable buyer</v>
      </c>
      <c r="AF87" t="str" cm="1">
        <f t="array" ref="AF87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88" spans="1:32" x14ac:dyDescent="0.35">
      <c r="A88" t="s">
        <v>308</v>
      </c>
      <c r="B88">
        <v>19</v>
      </c>
      <c r="C88" t="s">
        <v>43</v>
      </c>
      <c r="D88" t="s">
        <v>44</v>
      </c>
      <c r="E88" t="s">
        <v>80</v>
      </c>
      <c r="G88" t="s">
        <v>45</v>
      </c>
      <c r="H88" t="s">
        <v>44</v>
      </c>
      <c r="I88" t="s">
        <v>309</v>
      </c>
      <c r="J88" t="s">
        <v>222</v>
      </c>
      <c r="K88">
        <v>111.75</v>
      </c>
      <c r="L88">
        <v>4</v>
      </c>
      <c r="M88">
        <f t="shared" si="2"/>
        <v>10437.69</v>
      </c>
      <c r="N88" t="s">
        <v>48</v>
      </c>
      <c r="O88">
        <v>1</v>
      </c>
      <c r="P88">
        <v>4</v>
      </c>
      <c r="Q88">
        <v>0</v>
      </c>
      <c r="R88" t="s">
        <v>44</v>
      </c>
      <c r="S88" t="s">
        <v>50</v>
      </c>
      <c r="T88">
        <v>1</v>
      </c>
      <c r="U88">
        <v>6</v>
      </c>
      <c r="V88" t="s">
        <v>44</v>
      </c>
      <c r="W88" t="s">
        <v>38</v>
      </c>
      <c r="X88" t="s">
        <v>62</v>
      </c>
      <c r="Y88" s="5">
        <v>45438</v>
      </c>
      <c r="Z88" t="b">
        <v>0</v>
      </c>
      <c r="AA88" t="b">
        <v>1</v>
      </c>
      <c r="AB88" t="s">
        <v>64</v>
      </c>
      <c r="AC88" t="s">
        <v>54</v>
      </c>
      <c r="AD88">
        <v>8</v>
      </c>
      <c r="AE88" t="str" cm="1">
        <f t="array" ref="AE88">_xlfn.IFS(Practice3[[#This Row],[Time_to_Decision]]&lt;5,"quick buyer",Practice3[[#This Row],[Time_to_Decision]]&lt;=10,"considerable buyer",TRUE,"slow buyer")</f>
        <v>considerable buyer</v>
      </c>
      <c r="AF88" t="str" cm="1">
        <f t="array" ref="AF88">_xlfn.IFS(Practice3[[#This Row],[Age]]&lt;20,"&lt;20",Practice3[[#This Row],[Age]]&lt;=30,"20-29",Practice3[[#This Row],[Age]]&lt;=40,"30-39",Practice3[[#This Row],[Age]]&lt;=50,"40-49",Practice3[[#This Row],[Age]]&lt;=60,"50-59",TRUE,"60+")</f>
        <v>&lt;20</v>
      </c>
    </row>
    <row r="89" spans="1:32" x14ac:dyDescent="0.35">
      <c r="A89" t="s">
        <v>310</v>
      </c>
      <c r="B89">
        <v>41</v>
      </c>
      <c r="C89" t="s">
        <v>29</v>
      </c>
      <c r="D89" t="s">
        <v>44</v>
      </c>
      <c r="E89" t="s">
        <v>71</v>
      </c>
      <c r="G89" t="s">
        <v>57</v>
      </c>
      <c r="H89" t="s">
        <v>44</v>
      </c>
      <c r="I89" t="s">
        <v>311</v>
      </c>
      <c r="J89" t="s">
        <v>59</v>
      </c>
      <c r="K89">
        <v>136.19999999999999</v>
      </c>
      <c r="L89">
        <v>2</v>
      </c>
      <c r="M89">
        <f t="shared" si="2"/>
        <v>7484.2200000000012</v>
      </c>
      <c r="N89" t="s">
        <v>35</v>
      </c>
      <c r="O89">
        <v>3</v>
      </c>
      <c r="P89">
        <v>2</v>
      </c>
      <c r="Q89">
        <v>2</v>
      </c>
      <c r="R89" t="s">
        <v>60</v>
      </c>
      <c r="S89" t="s">
        <v>50</v>
      </c>
      <c r="T89">
        <v>0</v>
      </c>
      <c r="U89">
        <v>1</v>
      </c>
      <c r="V89" t="s">
        <v>44</v>
      </c>
      <c r="W89" t="s">
        <v>38</v>
      </c>
      <c r="X89" t="s">
        <v>51</v>
      </c>
      <c r="Y89" s="5">
        <v>45439</v>
      </c>
      <c r="Z89" t="b">
        <v>1</v>
      </c>
      <c r="AA89" t="b">
        <v>1</v>
      </c>
      <c r="AB89" t="s">
        <v>40</v>
      </c>
      <c r="AC89" t="s">
        <v>69</v>
      </c>
      <c r="AD89">
        <v>9</v>
      </c>
      <c r="AE89" t="str" cm="1">
        <f t="array" ref="AE89">_xlfn.IFS(Practice3[[#This Row],[Time_to_Decision]]&lt;5,"quick buyer",Practice3[[#This Row],[Time_to_Decision]]&lt;=10,"considerable buyer",TRUE,"slow buyer")</f>
        <v>considerable buyer</v>
      </c>
      <c r="AF89" t="str" cm="1">
        <f t="array" ref="AF89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90" spans="1:32" x14ac:dyDescent="0.35">
      <c r="A90" t="s">
        <v>312</v>
      </c>
      <c r="B90">
        <v>48</v>
      </c>
      <c r="C90" t="s">
        <v>43</v>
      </c>
      <c r="D90" t="s">
        <v>30</v>
      </c>
      <c r="E90" t="s">
        <v>31</v>
      </c>
      <c r="G90" t="s">
        <v>45</v>
      </c>
      <c r="H90" t="s">
        <v>30</v>
      </c>
      <c r="I90" t="s">
        <v>313</v>
      </c>
      <c r="J90" t="s">
        <v>47</v>
      </c>
      <c r="K90">
        <v>439.31</v>
      </c>
      <c r="L90">
        <v>4</v>
      </c>
      <c r="M90">
        <f t="shared" si="2"/>
        <v>7484.2200000000012</v>
      </c>
      <c r="N90" t="s">
        <v>48</v>
      </c>
      <c r="O90">
        <v>3</v>
      </c>
      <c r="P90">
        <v>2</v>
      </c>
      <c r="Q90">
        <v>1</v>
      </c>
      <c r="R90" t="s">
        <v>49</v>
      </c>
      <c r="S90" t="s">
        <v>90</v>
      </c>
      <c r="T90">
        <v>0</v>
      </c>
      <c r="U90">
        <v>6</v>
      </c>
      <c r="V90" t="s">
        <v>49</v>
      </c>
      <c r="W90" t="s">
        <v>61</v>
      </c>
      <c r="X90" t="s">
        <v>62</v>
      </c>
      <c r="Y90" s="5">
        <v>45440</v>
      </c>
      <c r="Z90" t="b">
        <v>0</v>
      </c>
      <c r="AA90" t="b">
        <v>1</v>
      </c>
      <c r="AB90" t="s">
        <v>53</v>
      </c>
      <c r="AC90" t="s">
        <v>41</v>
      </c>
      <c r="AD90">
        <v>7</v>
      </c>
      <c r="AE90" t="str" cm="1">
        <f t="array" ref="AE90">_xlfn.IFS(Practice3[[#This Row],[Time_to_Decision]]&lt;5,"quick buyer",Practice3[[#This Row],[Time_to_Decision]]&lt;=10,"considerable buyer",TRUE,"slow buyer")</f>
        <v>considerable buyer</v>
      </c>
      <c r="AF90" t="str" cm="1">
        <f t="array" ref="AF90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91" spans="1:32" x14ac:dyDescent="0.35">
      <c r="A91" t="s">
        <v>314</v>
      </c>
      <c r="B91">
        <v>19</v>
      </c>
      <c r="C91" t="s">
        <v>29</v>
      </c>
      <c r="D91" t="s">
        <v>30</v>
      </c>
      <c r="E91" t="s">
        <v>31</v>
      </c>
      <c r="F91" t="e" cm="1" vm="1">
        <f t="array" aca="1" ref="F91" ca="1">_xlfn.UNIQUE(E:E)</f>
        <v>#VALUE!</v>
      </c>
      <c r="G91" t="s">
        <v>32</v>
      </c>
      <c r="H91" t="s">
        <v>30</v>
      </c>
      <c r="I91" t="s">
        <v>315</v>
      </c>
      <c r="J91" t="s">
        <v>111</v>
      </c>
      <c r="K91">
        <v>194.93</v>
      </c>
      <c r="L91">
        <v>9</v>
      </c>
      <c r="M91">
        <f t="shared" si="2"/>
        <v>10437.69</v>
      </c>
      <c r="N91" t="s">
        <v>82</v>
      </c>
      <c r="O91">
        <v>4</v>
      </c>
      <c r="P91">
        <v>4</v>
      </c>
      <c r="Q91">
        <v>1</v>
      </c>
      <c r="R91" t="s">
        <v>44</v>
      </c>
      <c r="S91" t="s">
        <v>37</v>
      </c>
      <c r="T91">
        <v>0</v>
      </c>
      <c r="U91">
        <v>4</v>
      </c>
      <c r="V91" t="s">
        <v>36</v>
      </c>
      <c r="W91" t="s">
        <v>38</v>
      </c>
      <c r="X91" t="s">
        <v>68</v>
      </c>
      <c r="Y91" s="5">
        <v>45441</v>
      </c>
      <c r="Z91" t="b">
        <v>1</v>
      </c>
      <c r="AA91" t="b">
        <v>1</v>
      </c>
      <c r="AB91" t="s">
        <v>64</v>
      </c>
      <c r="AC91" t="s">
        <v>41</v>
      </c>
      <c r="AD91">
        <v>5</v>
      </c>
      <c r="AE91" t="str" cm="1">
        <f t="array" ref="AE91">_xlfn.IFS(Practice3[[#This Row],[Time_to_Decision]]&lt;5,"quick buyer",Practice3[[#This Row],[Time_to_Decision]]&lt;=10,"considerable buyer",TRUE,"slow buyer")</f>
        <v>considerable buyer</v>
      </c>
      <c r="AF91" t="str" cm="1">
        <f t="array" ref="AF91">_xlfn.IFS(Practice3[[#This Row],[Age]]&lt;20,"&lt;20",Practice3[[#This Row],[Age]]&lt;=30,"20-29",Practice3[[#This Row],[Age]]&lt;=40,"30-39",Practice3[[#This Row],[Age]]&lt;=50,"40-49",Practice3[[#This Row],[Age]]&lt;=60,"50-59",TRUE,"60+")</f>
        <v>&lt;20</v>
      </c>
    </row>
    <row r="92" spans="1:32" x14ac:dyDescent="0.35">
      <c r="A92" t="s">
        <v>317</v>
      </c>
      <c r="B92">
        <v>29</v>
      </c>
      <c r="C92" t="s">
        <v>43</v>
      </c>
      <c r="D92" t="s">
        <v>30</v>
      </c>
      <c r="E92" t="s">
        <v>71</v>
      </c>
      <c r="G92" t="s">
        <v>57</v>
      </c>
      <c r="H92" t="s">
        <v>44</v>
      </c>
      <c r="I92" t="s">
        <v>318</v>
      </c>
      <c r="J92" t="s">
        <v>47</v>
      </c>
      <c r="K92">
        <v>377.67</v>
      </c>
      <c r="L92">
        <v>8</v>
      </c>
      <c r="M92">
        <f t="shared" si="2"/>
        <v>5146.29</v>
      </c>
      <c r="N92" t="s">
        <v>82</v>
      </c>
      <c r="O92">
        <v>5</v>
      </c>
      <c r="P92">
        <v>3</v>
      </c>
      <c r="Q92">
        <v>0</v>
      </c>
      <c r="R92" t="s">
        <v>36</v>
      </c>
      <c r="S92" t="s">
        <v>90</v>
      </c>
      <c r="T92">
        <v>2</v>
      </c>
      <c r="U92">
        <v>1</v>
      </c>
      <c r="V92" t="s">
        <v>44</v>
      </c>
      <c r="W92" t="s">
        <v>83</v>
      </c>
      <c r="X92" t="s">
        <v>51</v>
      </c>
      <c r="Y92" s="5">
        <v>45442</v>
      </c>
      <c r="Z92" t="b">
        <v>1</v>
      </c>
      <c r="AA92" t="b">
        <v>0</v>
      </c>
      <c r="AB92" t="s">
        <v>40</v>
      </c>
      <c r="AC92" t="s">
        <v>41</v>
      </c>
      <c r="AD92">
        <v>14</v>
      </c>
      <c r="AE92" t="str" cm="1">
        <f t="array" ref="AE92">_xlfn.IFS(Practice3[[#This Row],[Time_to_Decision]]&lt;5,"quick buyer",Practice3[[#This Row],[Time_to_Decision]]&lt;=10,"considerable buyer",TRUE,"slow buyer")</f>
        <v>slow buyer</v>
      </c>
      <c r="AF92" t="str" cm="1">
        <f t="array" ref="AF92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93" spans="1:32" x14ac:dyDescent="0.35">
      <c r="A93" t="s">
        <v>320</v>
      </c>
      <c r="B93">
        <v>26</v>
      </c>
      <c r="C93" t="s">
        <v>321</v>
      </c>
      <c r="D93" t="s">
        <v>44</v>
      </c>
      <c r="E93" t="s">
        <v>56</v>
      </c>
      <c r="G93" t="s">
        <v>57</v>
      </c>
      <c r="H93" t="s">
        <v>44</v>
      </c>
      <c r="I93" t="s">
        <v>322</v>
      </c>
      <c r="J93" t="s">
        <v>215</v>
      </c>
      <c r="K93">
        <v>108.61</v>
      </c>
      <c r="L93">
        <v>10</v>
      </c>
      <c r="M93">
        <f t="shared" si="2"/>
        <v>7484.2200000000012</v>
      </c>
      <c r="N93" t="s">
        <v>48</v>
      </c>
      <c r="O93">
        <v>3</v>
      </c>
      <c r="P93">
        <v>2</v>
      </c>
      <c r="Q93">
        <v>0</v>
      </c>
      <c r="R93" t="s">
        <v>36</v>
      </c>
      <c r="S93" t="s">
        <v>90</v>
      </c>
      <c r="T93">
        <v>0</v>
      </c>
      <c r="U93">
        <v>3</v>
      </c>
      <c r="V93" t="s">
        <v>60</v>
      </c>
      <c r="W93" t="s">
        <v>61</v>
      </c>
      <c r="X93" t="s">
        <v>91</v>
      </c>
      <c r="Y93" s="5">
        <v>45443</v>
      </c>
      <c r="Z93" t="b">
        <v>1</v>
      </c>
      <c r="AA93" t="b">
        <v>1</v>
      </c>
      <c r="AB93" t="s">
        <v>40</v>
      </c>
      <c r="AC93" t="s">
        <v>41</v>
      </c>
      <c r="AD93">
        <v>14</v>
      </c>
      <c r="AE93" t="str" cm="1">
        <f t="array" ref="AE93">_xlfn.IFS(Practice3[[#This Row],[Time_to_Decision]]&lt;5,"quick buyer",Practice3[[#This Row],[Time_to_Decision]]&lt;=10,"considerable buyer",TRUE,"slow buyer")</f>
        <v>slow buyer</v>
      </c>
      <c r="AF93" t="str" cm="1">
        <f t="array" ref="AF93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94" spans="1:32" x14ac:dyDescent="0.35">
      <c r="A94" t="s">
        <v>324</v>
      </c>
      <c r="B94">
        <v>20</v>
      </c>
      <c r="C94" t="s">
        <v>29</v>
      </c>
      <c r="D94" t="s">
        <v>30</v>
      </c>
      <c r="E94" t="s">
        <v>31</v>
      </c>
      <c r="G94" t="s">
        <v>32</v>
      </c>
      <c r="H94" t="s">
        <v>30</v>
      </c>
      <c r="I94" t="s">
        <v>325</v>
      </c>
      <c r="J94" t="s">
        <v>111</v>
      </c>
      <c r="K94">
        <v>366.77</v>
      </c>
      <c r="L94">
        <v>7</v>
      </c>
      <c r="M94">
        <f t="shared" si="2"/>
        <v>7517.6</v>
      </c>
      <c r="N94" t="s">
        <v>35</v>
      </c>
      <c r="O94">
        <v>4</v>
      </c>
      <c r="P94">
        <v>3</v>
      </c>
      <c r="Q94">
        <v>2</v>
      </c>
      <c r="R94" t="s">
        <v>60</v>
      </c>
      <c r="S94" t="s">
        <v>50</v>
      </c>
      <c r="T94">
        <v>0</v>
      </c>
      <c r="U94">
        <v>9</v>
      </c>
      <c r="V94" t="s">
        <v>36</v>
      </c>
      <c r="W94" t="s">
        <v>61</v>
      </c>
      <c r="X94" t="s">
        <v>62</v>
      </c>
      <c r="Y94" s="5">
        <v>45444</v>
      </c>
      <c r="Z94" t="b">
        <v>0</v>
      </c>
      <c r="AA94" t="b">
        <v>0</v>
      </c>
      <c r="AB94" t="s">
        <v>64</v>
      </c>
      <c r="AC94" t="s">
        <v>54</v>
      </c>
      <c r="AD94">
        <v>1</v>
      </c>
      <c r="AE94" t="str" cm="1">
        <f t="array" ref="AE94">_xlfn.IFS(Practice3[[#This Row],[Time_to_Decision]]&lt;5,"quick buyer",Practice3[[#This Row],[Time_to_Decision]]&lt;=10,"considerable buyer",TRUE,"slow buyer")</f>
        <v>quick buyer</v>
      </c>
      <c r="AF94" t="str" cm="1">
        <f t="array" ref="AF94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95" spans="1:32" x14ac:dyDescent="0.35">
      <c r="A95" t="s">
        <v>327</v>
      </c>
      <c r="B95">
        <v>31</v>
      </c>
      <c r="C95" t="s">
        <v>29</v>
      </c>
      <c r="D95" t="s">
        <v>44</v>
      </c>
      <c r="E95" t="s">
        <v>80</v>
      </c>
      <c r="G95" t="s">
        <v>57</v>
      </c>
      <c r="H95" t="s">
        <v>30</v>
      </c>
      <c r="I95" t="s">
        <v>328</v>
      </c>
      <c r="J95" t="s">
        <v>286</v>
      </c>
      <c r="K95">
        <v>178.04</v>
      </c>
      <c r="L95">
        <v>5</v>
      </c>
      <c r="M95">
        <f t="shared" si="2"/>
        <v>7517.6</v>
      </c>
      <c r="N95" t="s">
        <v>48</v>
      </c>
      <c r="O95">
        <v>5</v>
      </c>
      <c r="P95">
        <v>1</v>
      </c>
      <c r="Q95">
        <v>2</v>
      </c>
      <c r="R95" t="s">
        <v>49</v>
      </c>
      <c r="S95" t="s">
        <v>37</v>
      </c>
      <c r="T95">
        <v>0</v>
      </c>
      <c r="U95">
        <v>5</v>
      </c>
      <c r="V95" t="s">
        <v>44</v>
      </c>
      <c r="W95" t="s">
        <v>38</v>
      </c>
      <c r="X95" t="s">
        <v>39</v>
      </c>
      <c r="Y95" s="5">
        <v>45445</v>
      </c>
      <c r="Z95" t="b">
        <v>0</v>
      </c>
      <c r="AA95" t="b">
        <v>0</v>
      </c>
      <c r="AB95" t="s">
        <v>40</v>
      </c>
      <c r="AC95" t="s">
        <v>41</v>
      </c>
      <c r="AD95">
        <v>12</v>
      </c>
      <c r="AE95" t="str" cm="1">
        <f t="array" ref="AE95">_xlfn.IFS(Practice3[[#This Row],[Time_to_Decision]]&lt;5,"quick buyer",Practice3[[#This Row],[Time_to_Decision]]&lt;=10,"considerable buyer",TRUE,"slow buyer")</f>
        <v>slow buyer</v>
      </c>
      <c r="AF95" t="str" cm="1">
        <f t="array" ref="AF95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96" spans="1:32" x14ac:dyDescent="0.35">
      <c r="A96" t="s">
        <v>329</v>
      </c>
      <c r="B96">
        <v>23</v>
      </c>
      <c r="C96" t="s">
        <v>29</v>
      </c>
      <c r="D96" t="s">
        <v>44</v>
      </c>
      <c r="E96" t="s">
        <v>80</v>
      </c>
      <c r="G96" t="s">
        <v>45</v>
      </c>
      <c r="H96" t="s">
        <v>44</v>
      </c>
      <c r="I96" t="s">
        <v>330</v>
      </c>
      <c r="J96" t="s">
        <v>137</v>
      </c>
      <c r="K96">
        <v>461.09</v>
      </c>
      <c r="L96">
        <v>8</v>
      </c>
      <c r="M96">
        <f t="shared" si="2"/>
        <v>5146.29</v>
      </c>
      <c r="N96" t="s">
        <v>82</v>
      </c>
      <c r="O96">
        <v>4</v>
      </c>
      <c r="P96">
        <v>1</v>
      </c>
      <c r="Q96">
        <v>0</v>
      </c>
      <c r="R96" t="s">
        <v>49</v>
      </c>
      <c r="S96" t="s">
        <v>37</v>
      </c>
      <c r="T96">
        <v>0</v>
      </c>
      <c r="U96">
        <v>4</v>
      </c>
      <c r="V96" t="s">
        <v>49</v>
      </c>
      <c r="W96" t="s">
        <v>61</v>
      </c>
      <c r="X96" t="s">
        <v>62</v>
      </c>
      <c r="Y96" s="5">
        <v>45446</v>
      </c>
      <c r="Z96" t="b">
        <v>1</v>
      </c>
      <c r="AA96" t="b">
        <v>0</v>
      </c>
      <c r="AB96" t="s">
        <v>40</v>
      </c>
      <c r="AC96" t="s">
        <v>41</v>
      </c>
      <c r="AD96">
        <v>8</v>
      </c>
      <c r="AE96" t="str" cm="1">
        <f t="array" ref="AE96">_xlfn.IFS(Practice3[[#This Row],[Time_to_Decision]]&lt;5,"quick buyer",Practice3[[#This Row],[Time_to_Decision]]&lt;=10,"considerable buyer",TRUE,"slow buyer")</f>
        <v>considerable buyer</v>
      </c>
      <c r="AF96" t="str" cm="1">
        <f t="array" ref="AF96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97" spans="1:32" x14ac:dyDescent="0.35">
      <c r="A97" t="s">
        <v>331</v>
      </c>
      <c r="B97">
        <v>19</v>
      </c>
      <c r="C97" t="s">
        <v>29</v>
      </c>
      <c r="D97" t="s">
        <v>44</v>
      </c>
      <c r="E97" t="s">
        <v>56</v>
      </c>
      <c r="G97" t="s">
        <v>45</v>
      </c>
      <c r="H97" t="s">
        <v>30</v>
      </c>
      <c r="I97" t="s">
        <v>332</v>
      </c>
      <c r="J97" t="s">
        <v>115</v>
      </c>
      <c r="K97">
        <v>211.16</v>
      </c>
      <c r="L97">
        <v>5</v>
      </c>
      <c r="M97">
        <f t="shared" si="2"/>
        <v>10437.69</v>
      </c>
      <c r="N97" t="s">
        <v>48</v>
      </c>
      <c r="O97">
        <v>2</v>
      </c>
      <c r="P97">
        <v>3</v>
      </c>
      <c r="Q97">
        <v>1</v>
      </c>
      <c r="R97" t="s">
        <v>44</v>
      </c>
      <c r="S97" t="s">
        <v>90</v>
      </c>
      <c r="T97">
        <v>0</v>
      </c>
      <c r="U97">
        <v>3</v>
      </c>
      <c r="V97" t="s">
        <v>36</v>
      </c>
      <c r="W97" t="s">
        <v>61</v>
      </c>
      <c r="X97" t="s">
        <v>51</v>
      </c>
      <c r="Y97" s="5">
        <v>45447</v>
      </c>
      <c r="Z97" t="b">
        <v>0</v>
      </c>
      <c r="AA97" t="b">
        <v>0</v>
      </c>
      <c r="AB97" t="s">
        <v>78</v>
      </c>
      <c r="AC97" t="s">
        <v>54</v>
      </c>
      <c r="AD97">
        <v>2</v>
      </c>
      <c r="AE97" t="str" cm="1">
        <f t="array" ref="AE97">_xlfn.IFS(Practice3[[#This Row],[Time_to_Decision]]&lt;5,"quick buyer",Practice3[[#This Row],[Time_to_Decision]]&lt;=10,"considerable buyer",TRUE,"slow buyer")</f>
        <v>quick buyer</v>
      </c>
      <c r="AF97" t="str" cm="1">
        <f t="array" ref="AF97">_xlfn.IFS(Practice3[[#This Row],[Age]]&lt;20,"&lt;20",Practice3[[#This Row],[Age]]&lt;=30,"20-29",Practice3[[#This Row],[Age]]&lt;=40,"30-39",Practice3[[#This Row],[Age]]&lt;=50,"40-49",Practice3[[#This Row],[Age]]&lt;=60,"50-59",TRUE,"60+")</f>
        <v>&lt;20</v>
      </c>
    </row>
    <row r="98" spans="1:32" x14ac:dyDescent="0.35">
      <c r="A98" t="s">
        <v>334</v>
      </c>
      <c r="B98">
        <v>23</v>
      </c>
      <c r="C98" t="s">
        <v>29</v>
      </c>
      <c r="D98" t="s">
        <v>30</v>
      </c>
      <c r="E98" t="s">
        <v>71</v>
      </c>
      <c r="G98" t="s">
        <v>32</v>
      </c>
      <c r="H98" t="s">
        <v>44</v>
      </c>
      <c r="I98" t="s">
        <v>335</v>
      </c>
      <c r="J98" t="s">
        <v>107</v>
      </c>
      <c r="K98">
        <v>421.95</v>
      </c>
      <c r="L98">
        <v>8</v>
      </c>
      <c r="M98">
        <f t="shared" ref="M98:M109" si="3">SUMIF(E:E,E99,K:K)</f>
        <v>7517.6</v>
      </c>
      <c r="N98" t="s">
        <v>35</v>
      </c>
      <c r="O98">
        <v>3</v>
      </c>
      <c r="P98">
        <v>5</v>
      </c>
      <c r="Q98">
        <v>0</v>
      </c>
      <c r="R98" t="s">
        <v>49</v>
      </c>
      <c r="S98" t="s">
        <v>50</v>
      </c>
      <c r="T98">
        <v>1</v>
      </c>
      <c r="U98">
        <v>1</v>
      </c>
      <c r="V98" t="s">
        <v>36</v>
      </c>
      <c r="W98" t="s">
        <v>61</v>
      </c>
      <c r="X98" t="s">
        <v>68</v>
      </c>
      <c r="Y98" s="5">
        <v>45448</v>
      </c>
      <c r="Z98" t="b">
        <v>0</v>
      </c>
      <c r="AA98" t="b">
        <v>1</v>
      </c>
      <c r="AB98" t="s">
        <v>40</v>
      </c>
      <c r="AC98" t="s">
        <v>41</v>
      </c>
      <c r="AD98">
        <v>7</v>
      </c>
      <c r="AE98" t="str" cm="1">
        <f t="array" ref="AE98">_xlfn.IFS(Practice3[[#This Row],[Time_to_Decision]]&lt;5,"quick buyer",Practice3[[#This Row],[Time_to_Decision]]&lt;=10,"considerable buyer",TRUE,"slow buyer")</f>
        <v>considerable buyer</v>
      </c>
      <c r="AF98" t="str" cm="1">
        <f t="array" ref="AF98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99" spans="1:32" x14ac:dyDescent="0.35">
      <c r="A99" t="s">
        <v>337</v>
      </c>
      <c r="B99">
        <v>49</v>
      </c>
      <c r="C99" t="s">
        <v>29</v>
      </c>
      <c r="D99" t="s">
        <v>30</v>
      </c>
      <c r="E99" t="s">
        <v>80</v>
      </c>
      <c r="G99" t="s">
        <v>32</v>
      </c>
      <c r="H99" t="s">
        <v>44</v>
      </c>
      <c r="I99" t="s">
        <v>338</v>
      </c>
      <c r="J99" t="s">
        <v>73</v>
      </c>
      <c r="K99">
        <v>378.59</v>
      </c>
      <c r="L99">
        <v>5</v>
      </c>
      <c r="M99">
        <f t="shared" si="3"/>
        <v>7517.6</v>
      </c>
      <c r="N99" t="s">
        <v>82</v>
      </c>
      <c r="O99">
        <v>2</v>
      </c>
      <c r="P99">
        <v>1</v>
      </c>
      <c r="Q99">
        <v>0</v>
      </c>
      <c r="R99" t="s">
        <v>36</v>
      </c>
      <c r="S99" t="s">
        <v>37</v>
      </c>
      <c r="T99">
        <v>0</v>
      </c>
      <c r="U99">
        <v>4</v>
      </c>
      <c r="V99" t="s">
        <v>44</v>
      </c>
      <c r="W99" t="s">
        <v>83</v>
      </c>
      <c r="X99" t="s">
        <v>68</v>
      </c>
      <c r="Y99" s="5">
        <v>45449</v>
      </c>
      <c r="Z99" t="b">
        <v>0</v>
      </c>
      <c r="AA99" t="b">
        <v>0</v>
      </c>
      <c r="AB99" t="s">
        <v>53</v>
      </c>
      <c r="AC99" t="s">
        <v>41</v>
      </c>
      <c r="AD99">
        <v>14</v>
      </c>
      <c r="AE99" t="str" cm="1">
        <f t="array" ref="AE99">_xlfn.IFS(Practice3[[#This Row],[Time_to_Decision]]&lt;5,"quick buyer",Practice3[[#This Row],[Time_to_Decision]]&lt;=10,"considerable buyer",TRUE,"slow buyer")</f>
        <v>slow buyer</v>
      </c>
      <c r="AF99" t="str" cm="1">
        <f t="array" ref="AF99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100" spans="1:32" x14ac:dyDescent="0.35">
      <c r="A100" t="s">
        <v>340</v>
      </c>
      <c r="B100">
        <v>23</v>
      </c>
      <c r="C100" t="s">
        <v>218</v>
      </c>
      <c r="D100" t="s">
        <v>44</v>
      </c>
      <c r="E100" t="s">
        <v>80</v>
      </c>
      <c r="G100" t="s">
        <v>45</v>
      </c>
      <c r="H100" t="s">
        <v>44</v>
      </c>
      <c r="I100" t="s">
        <v>341</v>
      </c>
      <c r="J100" t="s">
        <v>59</v>
      </c>
      <c r="K100">
        <v>268.93</v>
      </c>
      <c r="L100">
        <v>2</v>
      </c>
      <c r="M100">
        <f t="shared" si="3"/>
        <v>7517.6</v>
      </c>
      <c r="N100" t="s">
        <v>35</v>
      </c>
      <c r="O100">
        <v>5</v>
      </c>
      <c r="P100">
        <v>5</v>
      </c>
      <c r="Q100">
        <v>1</v>
      </c>
      <c r="R100" t="s">
        <v>49</v>
      </c>
      <c r="S100" t="s">
        <v>90</v>
      </c>
      <c r="T100">
        <v>1</v>
      </c>
      <c r="U100">
        <v>3</v>
      </c>
      <c r="V100" t="s">
        <v>36</v>
      </c>
      <c r="W100" t="s">
        <v>38</v>
      </c>
      <c r="X100" t="s">
        <v>62</v>
      </c>
      <c r="Y100" s="5">
        <v>45450</v>
      </c>
      <c r="Z100" t="b">
        <v>0</v>
      </c>
      <c r="AA100" t="b">
        <v>0</v>
      </c>
      <c r="AB100" t="s">
        <v>64</v>
      </c>
      <c r="AC100" t="s">
        <v>69</v>
      </c>
      <c r="AD100">
        <v>8</v>
      </c>
      <c r="AE100" t="str" cm="1">
        <f t="array" ref="AE100">_xlfn.IFS(Practice3[[#This Row],[Time_to_Decision]]&lt;5,"quick buyer",Practice3[[#This Row],[Time_to_Decision]]&lt;=10,"considerable buyer",TRUE,"slow buyer")</f>
        <v>considerable buyer</v>
      </c>
      <c r="AF100" t="str" cm="1">
        <f t="array" ref="AF100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101" spans="1:32" x14ac:dyDescent="0.35">
      <c r="A101" t="s">
        <v>342</v>
      </c>
      <c r="B101">
        <v>42</v>
      </c>
      <c r="C101" t="s">
        <v>43</v>
      </c>
      <c r="D101" t="s">
        <v>30</v>
      </c>
      <c r="E101" t="s">
        <v>80</v>
      </c>
      <c r="G101" t="s">
        <v>32</v>
      </c>
      <c r="H101" t="s">
        <v>44</v>
      </c>
      <c r="I101" t="s">
        <v>343</v>
      </c>
      <c r="J101" t="s">
        <v>111</v>
      </c>
      <c r="K101">
        <v>444.87</v>
      </c>
      <c r="L101">
        <v>11</v>
      </c>
      <c r="M101">
        <f t="shared" si="3"/>
        <v>10437.69</v>
      </c>
      <c r="N101" t="s">
        <v>82</v>
      </c>
      <c r="O101">
        <v>5</v>
      </c>
      <c r="P101">
        <v>4</v>
      </c>
      <c r="Q101">
        <v>0</v>
      </c>
      <c r="R101" t="s">
        <v>49</v>
      </c>
      <c r="S101" t="s">
        <v>50</v>
      </c>
      <c r="T101">
        <v>1</v>
      </c>
      <c r="U101">
        <v>8</v>
      </c>
      <c r="V101" t="s">
        <v>60</v>
      </c>
      <c r="W101" t="s">
        <v>83</v>
      </c>
      <c r="X101" t="s">
        <v>68</v>
      </c>
      <c r="Y101" s="5">
        <v>45451</v>
      </c>
      <c r="Z101" t="b">
        <v>0</v>
      </c>
      <c r="AA101" t="b">
        <v>0</v>
      </c>
      <c r="AB101" t="s">
        <v>53</v>
      </c>
      <c r="AC101" t="s">
        <v>41</v>
      </c>
      <c r="AD101">
        <v>7</v>
      </c>
      <c r="AE101" t="str" cm="1">
        <f t="array" ref="AE101">_xlfn.IFS(Practice3[[#This Row],[Time_to_Decision]]&lt;5,"quick buyer",Practice3[[#This Row],[Time_to_Decision]]&lt;=10,"considerable buyer",TRUE,"slow buyer")</f>
        <v>considerable buyer</v>
      </c>
      <c r="AF101" t="str" cm="1">
        <f t="array" ref="AF101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102" spans="1:32" x14ac:dyDescent="0.35">
      <c r="A102" t="s">
        <v>345</v>
      </c>
      <c r="B102">
        <v>18</v>
      </c>
      <c r="C102" t="s">
        <v>29</v>
      </c>
      <c r="D102" t="s">
        <v>44</v>
      </c>
      <c r="E102" t="s">
        <v>71</v>
      </c>
      <c r="G102" t="s">
        <v>32</v>
      </c>
      <c r="H102" t="s">
        <v>44</v>
      </c>
      <c r="I102" t="s">
        <v>346</v>
      </c>
      <c r="J102" t="s">
        <v>215</v>
      </c>
      <c r="K102">
        <v>160.82</v>
      </c>
      <c r="L102">
        <v>7</v>
      </c>
      <c r="M102">
        <f t="shared" si="3"/>
        <v>5146.29</v>
      </c>
      <c r="N102" t="s">
        <v>48</v>
      </c>
      <c r="O102">
        <v>3</v>
      </c>
      <c r="P102">
        <v>1</v>
      </c>
      <c r="Q102">
        <v>1</v>
      </c>
      <c r="R102" t="s">
        <v>44</v>
      </c>
      <c r="S102" t="s">
        <v>37</v>
      </c>
      <c r="T102">
        <v>0</v>
      </c>
      <c r="U102">
        <v>1</v>
      </c>
      <c r="V102" t="s">
        <v>44</v>
      </c>
      <c r="W102" t="s">
        <v>61</v>
      </c>
      <c r="X102" t="s">
        <v>91</v>
      </c>
      <c r="Y102" s="5">
        <v>45452</v>
      </c>
      <c r="Z102" t="b">
        <v>1</v>
      </c>
      <c r="AA102" t="b">
        <v>1</v>
      </c>
      <c r="AB102" t="s">
        <v>53</v>
      </c>
      <c r="AC102" t="s">
        <v>41</v>
      </c>
      <c r="AD102">
        <v>3</v>
      </c>
      <c r="AE102" t="str" cm="1">
        <f t="array" ref="AE102">_xlfn.IFS(Practice3[[#This Row],[Time_to_Decision]]&lt;5,"quick buyer",Practice3[[#This Row],[Time_to_Decision]]&lt;=10,"considerable buyer",TRUE,"slow buyer")</f>
        <v>quick buyer</v>
      </c>
      <c r="AF102" t="str" cm="1">
        <f t="array" ref="AF102">_xlfn.IFS(Practice3[[#This Row],[Age]]&lt;20,"&lt;20",Practice3[[#This Row],[Age]]&lt;=30,"20-29",Practice3[[#This Row],[Age]]&lt;=40,"30-39",Practice3[[#This Row],[Age]]&lt;=50,"40-49",Practice3[[#This Row],[Age]]&lt;=60,"50-59",TRUE,"60+")</f>
        <v>&lt;20</v>
      </c>
    </row>
    <row r="103" spans="1:32" x14ac:dyDescent="0.35">
      <c r="A103" t="s">
        <v>347</v>
      </c>
      <c r="B103">
        <v>35</v>
      </c>
      <c r="C103" t="s">
        <v>43</v>
      </c>
      <c r="D103" t="s">
        <v>44</v>
      </c>
      <c r="E103" t="s">
        <v>56</v>
      </c>
      <c r="G103" t="s">
        <v>57</v>
      </c>
      <c r="H103" t="s">
        <v>30</v>
      </c>
      <c r="I103" t="s">
        <v>348</v>
      </c>
      <c r="J103" t="s">
        <v>115</v>
      </c>
      <c r="K103">
        <v>494.18</v>
      </c>
      <c r="L103">
        <v>6</v>
      </c>
      <c r="M103">
        <f t="shared" si="3"/>
        <v>5146.29</v>
      </c>
      <c r="N103" t="s">
        <v>35</v>
      </c>
      <c r="O103">
        <v>4</v>
      </c>
      <c r="P103">
        <v>5</v>
      </c>
      <c r="Q103">
        <v>1</v>
      </c>
      <c r="R103" t="s">
        <v>49</v>
      </c>
      <c r="S103" t="s">
        <v>50</v>
      </c>
      <c r="T103">
        <v>1</v>
      </c>
      <c r="U103">
        <v>2</v>
      </c>
      <c r="V103" t="s">
        <v>36</v>
      </c>
      <c r="W103" t="s">
        <v>83</v>
      </c>
      <c r="X103" t="s">
        <v>91</v>
      </c>
      <c r="Y103" s="5">
        <v>45453</v>
      </c>
      <c r="Z103" t="b">
        <v>0</v>
      </c>
      <c r="AA103" t="b">
        <v>0</v>
      </c>
      <c r="AB103" t="s">
        <v>40</v>
      </c>
      <c r="AC103" t="s">
        <v>54</v>
      </c>
      <c r="AD103">
        <v>14</v>
      </c>
      <c r="AE103" t="str" cm="1">
        <f t="array" ref="AE103">_xlfn.IFS(Practice3[[#This Row],[Time_to_Decision]]&lt;5,"quick buyer",Practice3[[#This Row],[Time_to_Decision]]&lt;=10,"considerable buyer",TRUE,"slow buyer")</f>
        <v>slow buyer</v>
      </c>
      <c r="AF103" t="str" cm="1">
        <f t="array" ref="AF103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04" spans="1:32" x14ac:dyDescent="0.35">
      <c r="A104" t="s">
        <v>349</v>
      </c>
      <c r="B104">
        <v>22</v>
      </c>
      <c r="C104" t="s">
        <v>43</v>
      </c>
      <c r="D104" t="s">
        <v>30</v>
      </c>
      <c r="E104" t="s">
        <v>56</v>
      </c>
      <c r="G104" t="s">
        <v>32</v>
      </c>
      <c r="H104" t="s">
        <v>30</v>
      </c>
      <c r="I104" t="s">
        <v>350</v>
      </c>
      <c r="J104" t="s">
        <v>67</v>
      </c>
      <c r="K104">
        <v>177.05</v>
      </c>
      <c r="L104">
        <v>5</v>
      </c>
      <c r="M104">
        <f t="shared" si="3"/>
        <v>7484.2200000000012</v>
      </c>
      <c r="N104" t="s">
        <v>82</v>
      </c>
      <c r="O104">
        <v>3</v>
      </c>
      <c r="P104">
        <v>1</v>
      </c>
      <c r="Q104">
        <v>1</v>
      </c>
      <c r="R104" t="s">
        <v>36</v>
      </c>
      <c r="S104" t="s">
        <v>37</v>
      </c>
      <c r="T104">
        <v>2</v>
      </c>
      <c r="U104">
        <v>1</v>
      </c>
      <c r="V104" t="s">
        <v>60</v>
      </c>
      <c r="W104" t="s">
        <v>38</v>
      </c>
      <c r="X104" t="s">
        <v>91</v>
      </c>
      <c r="Y104" s="5">
        <v>45454</v>
      </c>
      <c r="Z104" t="b">
        <v>1</v>
      </c>
      <c r="AA104" t="b">
        <v>1</v>
      </c>
      <c r="AB104" t="s">
        <v>64</v>
      </c>
      <c r="AC104" t="s">
        <v>54</v>
      </c>
      <c r="AD104">
        <v>1</v>
      </c>
      <c r="AE104" t="str" cm="1">
        <f t="array" ref="AE104">_xlfn.IFS(Practice3[[#This Row],[Time_to_Decision]]&lt;5,"quick buyer",Practice3[[#This Row],[Time_to_Decision]]&lt;=10,"considerable buyer",TRUE,"slow buyer")</f>
        <v>quick buyer</v>
      </c>
      <c r="AF104" t="str" cm="1">
        <f t="array" ref="AF104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105" spans="1:32" x14ac:dyDescent="0.35">
      <c r="A105" t="s">
        <v>351</v>
      </c>
      <c r="B105">
        <v>28</v>
      </c>
      <c r="C105" t="s">
        <v>29</v>
      </c>
      <c r="D105" t="s">
        <v>30</v>
      </c>
      <c r="E105" t="s">
        <v>31</v>
      </c>
      <c r="G105" t="s">
        <v>57</v>
      </c>
      <c r="H105" t="s">
        <v>44</v>
      </c>
      <c r="I105" t="s">
        <v>352</v>
      </c>
      <c r="J105" t="s">
        <v>47</v>
      </c>
      <c r="K105">
        <v>450.66</v>
      </c>
      <c r="L105">
        <v>7</v>
      </c>
      <c r="M105">
        <f t="shared" si="3"/>
        <v>7484.2200000000012</v>
      </c>
      <c r="N105" t="s">
        <v>48</v>
      </c>
      <c r="O105">
        <v>2</v>
      </c>
      <c r="P105">
        <v>5</v>
      </c>
      <c r="Q105">
        <v>0</v>
      </c>
      <c r="R105" t="s">
        <v>44</v>
      </c>
      <c r="S105" t="s">
        <v>37</v>
      </c>
      <c r="T105">
        <v>2</v>
      </c>
      <c r="U105">
        <v>4</v>
      </c>
      <c r="V105" t="s">
        <v>49</v>
      </c>
      <c r="W105" t="s">
        <v>38</v>
      </c>
      <c r="X105" t="s">
        <v>39</v>
      </c>
      <c r="Y105" s="5">
        <v>45455</v>
      </c>
      <c r="Z105" t="b">
        <v>0</v>
      </c>
      <c r="AA105" t="b">
        <v>1</v>
      </c>
      <c r="AB105" t="s">
        <v>40</v>
      </c>
      <c r="AC105" t="s">
        <v>41</v>
      </c>
      <c r="AD105">
        <v>9</v>
      </c>
      <c r="AE105" t="str" cm="1">
        <f t="array" ref="AE105">_xlfn.IFS(Practice3[[#This Row],[Time_to_Decision]]&lt;5,"quick buyer",Practice3[[#This Row],[Time_to_Decision]]&lt;=10,"considerable buyer",TRUE,"slow buyer")</f>
        <v>considerable buyer</v>
      </c>
      <c r="AF105" t="str" cm="1">
        <f t="array" ref="AF105">_xlfn.IFS(Practice3[[#This Row],[Age]]&lt;20,"&lt;20",Practice3[[#This Row],[Age]]&lt;=30,"20-29",Practice3[[#This Row],[Age]]&lt;=40,"30-39",Practice3[[#This Row],[Age]]&lt;=50,"40-49",Practice3[[#This Row],[Age]]&lt;=60,"50-59",TRUE,"60+")</f>
        <v>20-29</v>
      </c>
    </row>
    <row r="106" spans="1:32" x14ac:dyDescent="0.35">
      <c r="A106" t="s">
        <v>354</v>
      </c>
      <c r="B106">
        <v>42</v>
      </c>
      <c r="C106" t="s">
        <v>29</v>
      </c>
      <c r="D106" t="s">
        <v>44</v>
      </c>
      <c r="E106" t="s">
        <v>31</v>
      </c>
      <c r="G106" t="s">
        <v>32</v>
      </c>
      <c r="H106" t="s">
        <v>30</v>
      </c>
      <c r="I106" t="s">
        <v>355</v>
      </c>
      <c r="J106" t="s">
        <v>149</v>
      </c>
      <c r="K106">
        <v>164.27</v>
      </c>
      <c r="L106">
        <v>6</v>
      </c>
      <c r="M106">
        <f t="shared" si="3"/>
        <v>10437.69</v>
      </c>
      <c r="N106" t="s">
        <v>82</v>
      </c>
      <c r="O106">
        <v>5</v>
      </c>
      <c r="P106">
        <v>3</v>
      </c>
      <c r="Q106">
        <v>2</v>
      </c>
      <c r="R106" t="s">
        <v>44</v>
      </c>
      <c r="S106" t="s">
        <v>50</v>
      </c>
      <c r="T106">
        <v>2</v>
      </c>
      <c r="U106">
        <v>7</v>
      </c>
      <c r="V106" t="s">
        <v>60</v>
      </c>
      <c r="W106" t="s">
        <v>83</v>
      </c>
      <c r="X106" t="s">
        <v>51</v>
      </c>
      <c r="Y106" s="5">
        <v>45456</v>
      </c>
      <c r="Z106" t="b">
        <v>1</v>
      </c>
      <c r="AA106" t="b">
        <v>0</v>
      </c>
      <c r="AB106" t="s">
        <v>53</v>
      </c>
      <c r="AC106" t="s">
        <v>41</v>
      </c>
      <c r="AD106">
        <v>14</v>
      </c>
      <c r="AE106" t="str" cm="1">
        <f t="array" ref="AE106">_xlfn.IFS(Practice3[[#This Row],[Time_to_Decision]]&lt;5,"quick buyer",Practice3[[#This Row],[Time_to_Decision]]&lt;=10,"considerable buyer",TRUE,"slow buyer")</f>
        <v>slow buyer</v>
      </c>
      <c r="AF106" t="str" cm="1">
        <f t="array" ref="AF106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  <row r="107" spans="1:32" x14ac:dyDescent="0.35">
      <c r="A107" t="s">
        <v>357</v>
      </c>
      <c r="B107">
        <v>37</v>
      </c>
      <c r="C107" t="s">
        <v>29</v>
      </c>
      <c r="D107" t="s">
        <v>30</v>
      </c>
      <c r="E107" t="s">
        <v>71</v>
      </c>
      <c r="G107" t="s">
        <v>57</v>
      </c>
      <c r="H107" t="s">
        <v>44</v>
      </c>
      <c r="I107" t="s">
        <v>358</v>
      </c>
      <c r="J107" t="s">
        <v>47</v>
      </c>
      <c r="K107">
        <v>346.36</v>
      </c>
      <c r="L107">
        <v>12</v>
      </c>
      <c r="M107">
        <f t="shared" si="3"/>
        <v>10437.69</v>
      </c>
      <c r="N107" t="s">
        <v>35</v>
      </c>
      <c r="O107">
        <v>4</v>
      </c>
      <c r="P107">
        <v>5</v>
      </c>
      <c r="Q107">
        <v>0</v>
      </c>
      <c r="R107" t="s">
        <v>49</v>
      </c>
      <c r="S107" t="s">
        <v>37</v>
      </c>
      <c r="T107">
        <v>0</v>
      </c>
      <c r="U107">
        <v>7</v>
      </c>
      <c r="V107" t="s">
        <v>49</v>
      </c>
      <c r="W107" t="s">
        <v>61</v>
      </c>
      <c r="X107" t="s">
        <v>39</v>
      </c>
      <c r="Y107" s="5">
        <v>45457</v>
      </c>
      <c r="Z107" t="b">
        <v>0</v>
      </c>
      <c r="AA107" t="b">
        <v>0</v>
      </c>
      <c r="AB107" t="s">
        <v>40</v>
      </c>
      <c r="AC107" t="s">
        <v>54</v>
      </c>
      <c r="AD107">
        <v>14</v>
      </c>
      <c r="AE107" t="str" cm="1">
        <f t="array" ref="AE107">_xlfn.IFS(Practice3[[#This Row],[Time_to_Decision]]&lt;5,"quick buyer",Practice3[[#This Row],[Time_to_Decision]]&lt;=10,"considerable buyer",TRUE,"slow buyer")</f>
        <v>slow buyer</v>
      </c>
      <c r="AF107" t="str" cm="1">
        <f t="array" ref="AF107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08" spans="1:32" x14ac:dyDescent="0.35">
      <c r="A108" t="s">
        <v>359</v>
      </c>
      <c r="B108">
        <v>33</v>
      </c>
      <c r="C108" t="s">
        <v>29</v>
      </c>
      <c r="D108" t="s">
        <v>30</v>
      </c>
      <c r="E108" t="s">
        <v>71</v>
      </c>
      <c r="G108" t="s">
        <v>45</v>
      </c>
      <c r="H108" t="s">
        <v>44</v>
      </c>
      <c r="I108" t="s">
        <v>360</v>
      </c>
      <c r="J108" t="s">
        <v>107</v>
      </c>
      <c r="K108">
        <v>377.77</v>
      </c>
      <c r="L108">
        <v>9</v>
      </c>
      <c r="M108">
        <f t="shared" si="3"/>
        <v>10437.69</v>
      </c>
      <c r="N108" t="s">
        <v>35</v>
      </c>
      <c r="O108">
        <v>4</v>
      </c>
      <c r="P108">
        <v>2</v>
      </c>
      <c r="Q108">
        <v>1</v>
      </c>
      <c r="R108" t="s">
        <v>49</v>
      </c>
      <c r="S108" t="s">
        <v>50</v>
      </c>
      <c r="T108">
        <v>1</v>
      </c>
      <c r="U108">
        <v>5</v>
      </c>
      <c r="V108" t="s">
        <v>49</v>
      </c>
      <c r="W108" t="s">
        <v>38</v>
      </c>
      <c r="X108" t="s">
        <v>39</v>
      </c>
      <c r="Y108" s="5">
        <v>45458</v>
      </c>
      <c r="Z108" t="b">
        <v>1</v>
      </c>
      <c r="AA108" t="b">
        <v>1</v>
      </c>
      <c r="AB108" t="s">
        <v>64</v>
      </c>
      <c r="AC108" t="s">
        <v>54</v>
      </c>
      <c r="AD108">
        <v>3</v>
      </c>
      <c r="AE108" t="str" cm="1">
        <f t="array" ref="AE108">_xlfn.IFS(Practice3[[#This Row],[Time_to_Decision]]&lt;5,"quick buyer",Practice3[[#This Row],[Time_to_Decision]]&lt;=10,"considerable buyer",TRUE,"slow buyer")</f>
        <v>quick buyer</v>
      </c>
      <c r="AF108" t="str" cm="1">
        <f t="array" ref="AF108">_xlfn.IFS(Practice3[[#This Row],[Age]]&lt;20,"&lt;20",Practice3[[#This Row],[Age]]&lt;=30,"20-29",Practice3[[#This Row],[Age]]&lt;=40,"30-39",Practice3[[#This Row],[Age]]&lt;=50,"40-49",Practice3[[#This Row],[Age]]&lt;=60,"50-59",TRUE,"60+")</f>
        <v>30-39</v>
      </c>
    </row>
    <row r="109" spans="1:32" x14ac:dyDescent="0.35">
      <c r="A109" t="s">
        <v>362</v>
      </c>
      <c r="B109">
        <v>46</v>
      </c>
      <c r="C109" t="s">
        <v>29</v>
      </c>
      <c r="D109" t="s">
        <v>30</v>
      </c>
      <c r="E109" t="s">
        <v>71</v>
      </c>
      <c r="G109" t="s">
        <v>45</v>
      </c>
      <c r="H109" t="s">
        <v>30</v>
      </c>
      <c r="I109" t="s">
        <v>363</v>
      </c>
      <c r="J109" t="s">
        <v>222</v>
      </c>
      <c r="K109">
        <v>163.41</v>
      </c>
      <c r="L109">
        <v>2</v>
      </c>
      <c r="M109">
        <f t="shared" si="3"/>
        <v>0</v>
      </c>
      <c r="N109" t="s">
        <v>48</v>
      </c>
      <c r="O109">
        <v>5</v>
      </c>
      <c r="P109">
        <v>5</v>
      </c>
      <c r="Q109">
        <v>2</v>
      </c>
      <c r="R109" t="s">
        <v>60</v>
      </c>
      <c r="S109" t="s">
        <v>50</v>
      </c>
      <c r="T109">
        <v>1</v>
      </c>
      <c r="U109">
        <v>8</v>
      </c>
      <c r="V109" t="s">
        <v>44</v>
      </c>
      <c r="W109" t="s">
        <v>83</v>
      </c>
      <c r="X109" t="s">
        <v>68</v>
      </c>
      <c r="Y109" s="5">
        <v>45459</v>
      </c>
      <c r="Z109" t="b">
        <v>1</v>
      </c>
      <c r="AA109" t="b">
        <v>1</v>
      </c>
      <c r="AB109" t="s">
        <v>40</v>
      </c>
      <c r="AC109" t="s">
        <v>69</v>
      </c>
      <c r="AD109">
        <v>4</v>
      </c>
      <c r="AE109" t="str" cm="1">
        <f t="array" ref="AE109">_xlfn.IFS(Practice3[[#This Row],[Time_to_Decision]]&lt;5,"quick buyer",Practice3[[#This Row],[Time_to_Decision]]&lt;=10,"considerable buyer",TRUE,"slow buyer")</f>
        <v>quick buyer</v>
      </c>
      <c r="AF109" t="str" cm="1">
        <f t="array" ref="AF109">_xlfn.IFS(Practice3[[#This Row],[Age]]&lt;20,"&lt;20",Practice3[[#This Row],[Age]]&lt;=30,"20-29",Practice3[[#This Row],[Age]]&lt;=40,"30-39",Practice3[[#This Row],[Age]]&lt;=50,"40-49",Practice3[[#This Row],[Age]]&lt;=60,"50-59",TRUE,"60+")</f>
        <v>40-49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00B6-61CE-4157-8F85-D8DEF0202DF4}">
  <dimension ref="A3:C28"/>
  <sheetViews>
    <sheetView workbookViewId="0">
      <selection activeCell="G18" sqref="G18"/>
    </sheetView>
  </sheetViews>
  <sheetFormatPr defaultRowHeight="14.5" x14ac:dyDescent="0.35"/>
  <cols>
    <col min="1" max="1" width="20" bestFit="1" customWidth="1"/>
    <col min="2" max="2" width="25.26953125" bestFit="1" customWidth="1"/>
    <col min="3" max="3" width="23.453125" bestFit="1" customWidth="1"/>
  </cols>
  <sheetData>
    <row r="3" spans="1:3" x14ac:dyDescent="0.35">
      <c r="A3" s="1" t="s">
        <v>366</v>
      </c>
      <c r="B3" t="s">
        <v>370</v>
      </c>
      <c r="C3" t="s">
        <v>369</v>
      </c>
    </row>
    <row r="4" spans="1:3" x14ac:dyDescent="0.35">
      <c r="A4" s="2" t="s">
        <v>107</v>
      </c>
      <c r="B4" s="3">
        <v>312.04333333333335</v>
      </c>
      <c r="C4">
        <v>1872.26</v>
      </c>
    </row>
    <row r="5" spans="1:3" x14ac:dyDescent="0.35">
      <c r="A5" s="2" t="s">
        <v>149</v>
      </c>
      <c r="B5" s="3">
        <v>238.68</v>
      </c>
      <c r="C5">
        <v>1193.4000000000001</v>
      </c>
    </row>
    <row r="6" spans="1:3" x14ac:dyDescent="0.35">
      <c r="A6" s="2" t="s">
        <v>133</v>
      </c>
      <c r="B6" s="3">
        <v>209.375</v>
      </c>
      <c r="C6">
        <v>418.75</v>
      </c>
    </row>
    <row r="7" spans="1:3" x14ac:dyDescent="0.35">
      <c r="A7" s="2" t="s">
        <v>215</v>
      </c>
      <c r="B7" s="3">
        <v>231.11666666666665</v>
      </c>
      <c r="C7">
        <v>693.34999999999991</v>
      </c>
    </row>
    <row r="8" spans="1:3" x14ac:dyDescent="0.35">
      <c r="A8" s="2" t="s">
        <v>86</v>
      </c>
      <c r="B8" s="3">
        <v>246.30714285714285</v>
      </c>
      <c r="C8">
        <v>1724.1499999999999</v>
      </c>
    </row>
    <row r="9" spans="1:3" x14ac:dyDescent="0.35">
      <c r="A9" s="2" t="s">
        <v>209</v>
      </c>
      <c r="B9" s="3">
        <v>237.65333333333334</v>
      </c>
      <c r="C9">
        <v>712.96</v>
      </c>
    </row>
    <row r="10" spans="1:3" x14ac:dyDescent="0.35">
      <c r="A10" s="2" t="s">
        <v>127</v>
      </c>
      <c r="B10" s="3">
        <v>273.6275</v>
      </c>
      <c r="C10">
        <v>1094.51</v>
      </c>
    </row>
    <row r="11" spans="1:3" x14ac:dyDescent="0.35">
      <c r="A11" s="2" t="s">
        <v>47</v>
      </c>
      <c r="B11" s="3">
        <v>277.88125000000002</v>
      </c>
      <c r="C11">
        <v>2223.0500000000002</v>
      </c>
    </row>
    <row r="12" spans="1:3" x14ac:dyDescent="0.35">
      <c r="A12" s="2" t="s">
        <v>73</v>
      </c>
      <c r="B12" s="3">
        <v>315.88750000000005</v>
      </c>
      <c r="C12">
        <v>2527.1000000000004</v>
      </c>
    </row>
    <row r="13" spans="1:3" x14ac:dyDescent="0.35">
      <c r="A13" s="2" t="s">
        <v>34</v>
      </c>
      <c r="B13" s="3">
        <v>344.25</v>
      </c>
      <c r="C13">
        <v>688.5</v>
      </c>
    </row>
    <row r="14" spans="1:3" x14ac:dyDescent="0.35">
      <c r="A14" s="2" t="s">
        <v>178</v>
      </c>
      <c r="B14" s="3">
        <v>276.98333333333329</v>
      </c>
      <c r="C14">
        <v>830.94999999999993</v>
      </c>
    </row>
    <row r="15" spans="1:3" x14ac:dyDescent="0.35">
      <c r="A15" s="2" t="s">
        <v>111</v>
      </c>
      <c r="B15" s="3">
        <v>291.9666666666667</v>
      </c>
      <c r="C15">
        <v>1751.8000000000002</v>
      </c>
    </row>
    <row r="16" spans="1:3" x14ac:dyDescent="0.35">
      <c r="A16" s="2" t="s">
        <v>158</v>
      </c>
      <c r="B16" s="3">
        <v>264.96666666666664</v>
      </c>
      <c r="C16">
        <v>794.9</v>
      </c>
    </row>
    <row r="17" spans="1:3" x14ac:dyDescent="0.35">
      <c r="A17" s="2" t="s">
        <v>67</v>
      </c>
      <c r="B17" s="3">
        <v>234.25</v>
      </c>
      <c r="C17">
        <v>702.75</v>
      </c>
    </row>
    <row r="18" spans="1:3" x14ac:dyDescent="0.35">
      <c r="A18" s="2" t="s">
        <v>115</v>
      </c>
      <c r="B18" s="3">
        <v>245.15750000000003</v>
      </c>
      <c r="C18">
        <v>980.63000000000011</v>
      </c>
    </row>
    <row r="19" spans="1:3" x14ac:dyDescent="0.35">
      <c r="A19" s="2" t="s">
        <v>286</v>
      </c>
      <c r="B19" s="3">
        <v>266.45499999999998</v>
      </c>
      <c r="C19">
        <v>532.91</v>
      </c>
    </row>
    <row r="20" spans="1:3" x14ac:dyDescent="0.35">
      <c r="A20" s="2" t="s">
        <v>104</v>
      </c>
      <c r="B20" s="3">
        <v>242.88</v>
      </c>
      <c r="C20">
        <v>728.64</v>
      </c>
    </row>
    <row r="21" spans="1:3" x14ac:dyDescent="0.35">
      <c r="A21" s="2" t="s">
        <v>98</v>
      </c>
      <c r="B21" s="3">
        <v>278.33125000000001</v>
      </c>
      <c r="C21">
        <v>2226.65</v>
      </c>
    </row>
    <row r="22" spans="1:3" x14ac:dyDescent="0.35">
      <c r="A22" s="2" t="s">
        <v>59</v>
      </c>
      <c r="B22" s="3">
        <v>328.39833333333337</v>
      </c>
      <c r="C22">
        <v>1970.3900000000003</v>
      </c>
    </row>
    <row r="23" spans="1:3" x14ac:dyDescent="0.35">
      <c r="A23" s="2" t="s">
        <v>123</v>
      </c>
      <c r="B23" s="3">
        <v>295.45999999999998</v>
      </c>
      <c r="C23">
        <v>590.91999999999996</v>
      </c>
    </row>
    <row r="24" spans="1:3" x14ac:dyDescent="0.35">
      <c r="A24" s="2" t="s">
        <v>130</v>
      </c>
      <c r="B24" s="3">
        <v>404.928</v>
      </c>
      <c r="C24">
        <v>2024.6399999999999</v>
      </c>
    </row>
    <row r="25" spans="1:3" x14ac:dyDescent="0.35">
      <c r="A25" s="2" t="s">
        <v>95</v>
      </c>
      <c r="B25" s="3">
        <v>343.83800000000002</v>
      </c>
      <c r="C25">
        <v>1719.19</v>
      </c>
    </row>
    <row r="26" spans="1:3" x14ac:dyDescent="0.35">
      <c r="A26" s="2" t="s">
        <v>137</v>
      </c>
      <c r="B26" s="3">
        <v>307.77199999999999</v>
      </c>
      <c r="C26">
        <v>1538.86</v>
      </c>
    </row>
    <row r="27" spans="1:3" x14ac:dyDescent="0.35">
      <c r="A27" s="2" t="s">
        <v>222</v>
      </c>
      <c r="B27" s="3">
        <v>208.90799999999999</v>
      </c>
      <c r="C27">
        <v>1044.54</v>
      </c>
    </row>
    <row r="28" spans="1:3" x14ac:dyDescent="0.35">
      <c r="A28" s="2" t="s">
        <v>367</v>
      </c>
      <c r="B28" s="3">
        <v>283.2018518518521</v>
      </c>
      <c r="C28">
        <v>30585.800000000028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1CB4-0455-4F15-BCB9-C67B0DDFB9CD}">
  <dimension ref="A3:B16"/>
  <sheetViews>
    <sheetView workbookViewId="0">
      <selection activeCell="E14" sqref="E14"/>
    </sheetView>
  </sheetViews>
  <sheetFormatPr defaultRowHeight="14.5" x14ac:dyDescent="0.35"/>
  <cols>
    <col min="1" max="1" width="13.54296875" bestFit="1" customWidth="1"/>
    <col min="2" max="2" width="25.26953125" bestFit="1" customWidth="1"/>
  </cols>
  <sheetData>
    <row r="3" spans="1:2" x14ac:dyDescent="0.35">
      <c r="A3" s="1" t="s">
        <v>366</v>
      </c>
      <c r="B3" t="s">
        <v>370</v>
      </c>
    </row>
    <row r="4" spans="1:2" x14ac:dyDescent="0.35">
      <c r="A4" s="2" t="s">
        <v>44</v>
      </c>
      <c r="B4" s="3">
        <v>254.94411764705887</v>
      </c>
    </row>
    <row r="5" spans="1:2" x14ac:dyDescent="0.35">
      <c r="A5" s="4" t="s">
        <v>321</v>
      </c>
      <c r="B5" s="3">
        <v>108.61</v>
      </c>
    </row>
    <row r="6" spans="1:2" x14ac:dyDescent="0.35">
      <c r="A6" s="4" t="s">
        <v>93</v>
      </c>
      <c r="B6" s="3">
        <v>321.14999999999998</v>
      </c>
    </row>
    <row r="7" spans="1:2" x14ac:dyDescent="0.35">
      <c r="A7" s="4" t="s">
        <v>29</v>
      </c>
      <c r="B7" s="3">
        <v>246.72818181818181</v>
      </c>
    </row>
    <row r="8" spans="1:2" x14ac:dyDescent="0.35">
      <c r="A8" s="4" t="s">
        <v>165</v>
      </c>
      <c r="B8" s="3">
        <v>307.72500000000002</v>
      </c>
    </row>
    <row r="9" spans="1:2" x14ac:dyDescent="0.35">
      <c r="A9" s="4" t="s">
        <v>43</v>
      </c>
      <c r="B9" s="3">
        <v>260.90952380952382</v>
      </c>
    </row>
    <row r="10" spans="1:2" x14ac:dyDescent="0.35">
      <c r="A10" s="4" t="s">
        <v>218</v>
      </c>
      <c r="B10" s="3">
        <v>190.08500000000001</v>
      </c>
    </row>
    <row r="11" spans="1:2" x14ac:dyDescent="0.35">
      <c r="A11" s="4" t="s">
        <v>245</v>
      </c>
      <c r="B11" s="3">
        <v>348.5</v>
      </c>
    </row>
    <row r="12" spans="1:2" x14ac:dyDescent="0.35">
      <c r="A12" s="2" t="s">
        <v>30</v>
      </c>
      <c r="B12" s="3">
        <v>308.48508771929824</v>
      </c>
    </row>
    <row r="13" spans="1:2" x14ac:dyDescent="0.35">
      <c r="A13" s="4" t="s">
        <v>93</v>
      </c>
      <c r="B13" s="3">
        <v>328.36</v>
      </c>
    </row>
    <row r="14" spans="1:2" x14ac:dyDescent="0.35">
      <c r="A14" s="4" t="s">
        <v>29</v>
      </c>
      <c r="B14" s="3">
        <v>315.79235294117655</v>
      </c>
    </row>
    <row r="15" spans="1:2" x14ac:dyDescent="0.35">
      <c r="A15" s="4" t="s">
        <v>43</v>
      </c>
      <c r="B15" s="3">
        <v>296.28863636363639</v>
      </c>
    </row>
    <row r="16" spans="1:2" x14ac:dyDescent="0.35">
      <c r="A16" s="2" t="s">
        <v>367</v>
      </c>
      <c r="B16" s="3">
        <v>283.20185185185204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4E5-820C-451B-B74B-9520CFCBCACA}">
  <dimension ref="A3:B8"/>
  <sheetViews>
    <sheetView workbookViewId="0">
      <selection activeCell="L9" sqref="L9"/>
    </sheetView>
  </sheetViews>
  <sheetFormatPr defaultRowHeight="14.5" x14ac:dyDescent="0.35"/>
  <cols>
    <col min="1" max="1" width="12.453125" bestFit="1" customWidth="1"/>
    <col min="2" max="2" width="17.453125" bestFit="1" customWidth="1"/>
  </cols>
  <sheetData>
    <row r="3" spans="1:2" x14ac:dyDescent="0.35">
      <c r="A3" s="1" t="s">
        <v>366</v>
      </c>
      <c r="B3" t="s">
        <v>372</v>
      </c>
    </row>
    <row r="4" spans="1:2" x14ac:dyDescent="0.35">
      <c r="A4" s="2" t="s">
        <v>373</v>
      </c>
      <c r="B4">
        <v>6</v>
      </c>
    </row>
    <row r="5" spans="1:2" x14ac:dyDescent="0.35">
      <c r="A5" s="2" t="s">
        <v>374</v>
      </c>
      <c r="B5">
        <v>33</v>
      </c>
    </row>
    <row r="6" spans="1:2" x14ac:dyDescent="0.35">
      <c r="A6" s="2" t="s">
        <v>375</v>
      </c>
      <c r="B6">
        <v>42</v>
      </c>
    </row>
    <row r="7" spans="1:2" x14ac:dyDescent="0.35">
      <c r="A7" s="2" t="s">
        <v>376</v>
      </c>
      <c r="B7">
        <v>27</v>
      </c>
    </row>
    <row r="8" spans="1:2" x14ac:dyDescent="0.35">
      <c r="A8" s="2" t="s">
        <v>367</v>
      </c>
      <c r="B8">
        <v>108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2E25-095C-4FCE-8FBF-F40EF6AE99C6}">
  <dimension ref="A2:B95"/>
  <sheetViews>
    <sheetView workbookViewId="0">
      <selection activeCell="L8" sqref="L8"/>
    </sheetView>
  </sheetViews>
  <sheetFormatPr defaultRowHeight="14.5" x14ac:dyDescent="0.35"/>
  <cols>
    <col min="1" max="1" width="12.453125" bestFit="1" customWidth="1"/>
    <col min="2" max="2" width="25.26953125" bestFit="1" customWidth="1"/>
    <col min="3" max="3" width="9.26953125" bestFit="1" customWidth="1"/>
    <col min="4" max="18" width="10.26953125" bestFit="1" customWidth="1"/>
    <col min="19" max="57" width="9.26953125" bestFit="1" customWidth="1"/>
    <col min="58" max="68" width="8.26953125" bestFit="1" customWidth="1"/>
    <col min="69" max="70" width="9.26953125" bestFit="1" customWidth="1"/>
    <col min="71" max="71" width="8.26953125" bestFit="1" customWidth="1"/>
    <col min="72" max="72" width="9.26953125" bestFit="1" customWidth="1"/>
    <col min="73" max="75" width="8.26953125" bestFit="1" customWidth="1"/>
    <col min="76" max="79" width="9.26953125" bestFit="1" customWidth="1"/>
    <col min="80" max="83" width="8.26953125" bestFit="1" customWidth="1"/>
    <col min="84" max="87" width="9.26953125" bestFit="1" customWidth="1"/>
    <col min="88" max="88" width="10.26953125" bestFit="1" customWidth="1"/>
    <col min="89" max="93" width="9.26953125" bestFit="1" customWidth="1"/>
    <col min="94" max="94" width="10.36328125" bestFit="1" customWidth="1"/>
  </cols>
  <sheetData>
    <row r="2" spans="1:2" x14ac:dyDescent="0.35">
      <c r="A2" s="1" t="s">
        <v>366</v>
      </c>
      <c r="B2" t="s">
        <v>370</v>
      </c>
    </row>
    <row r="3" spans="1:2" x14ac:dyDescent="0.35">
      <c r="A3" s="2" t="s">
        <v>378</v>
      </c>
      <c r="B3">
        <v>299.31</v>
      </c>
    </row>
    <row r="4" spans="1:2" x14ac:dyDescent="0.35">
      <c r="A4" s="2" t="s">
        <v>167</v>
      </c>
      <c r="B4">
        <v>282.13</v>
      </c>
    </row>
    <row r="5" spans="1:2" x14ac:dyDescent="0.35">
      <c r="A5" s="2" t="s">
        <v>379</v>
      </c>
      <c r="B5">
        <v>333.8</v>
      </c>
    </row>
    <row r="6" spans="1:2" x14ac:dyDescent="0.35">
      <c r="A6" s="2" t="s">
        <v>74</v>
      </c>
      <c r="B6">
        <v>211.7</v>
      </c>
    </row>
    <row r="7" spans="1:2" x14ac:dyDescent="0.35">
      <c r="A7" s="2" t="s">
        <v>380</v>
      </c>
      <c r="B7">
        <v>378.87</v>
      </c>
    </row>
    <row r="8" spans="1:2" x14ac:dyDescent="0.35">
      <c r="A8" s="2" t="s">
        <v>381</v>
      </c>
      <c r="B8">
        <v>338.2</v>
      </c>
    </row>
    <row r="9" spans="1:2" x14ac:dyDescent="0.35">
      <c r="A9" s="2" t="s">
        <v>382</v>
      </c>
      <c r="B9">
        <v>111.75</v>
      </c>
    </row>
    <row r="10" spans="1:2" x14ac:dyDescent="0.35">
      <c r="A10" s="2" t="s">
        <v>339</v>
      </c>
      <c r="B10">
        <v>378.59</v>
      </c>
    </row>
    <row r="11" spans="1:2" x14ac:dyDescent="0.35">
      <c r="A11" s="2" t="s">
        <v>118</v>
      </c>
      <c r="B11">
        <v>356.45</v>
      </c>
    </row>
    <row r="12" spans="1:2" x14ac:dyDescent="0.35">
      <c r="A12" s="2" t="s">
        <v>383</v>
      </c>
      <c r="B12">
        <v>354.7</v>
      </c>
    </row>
    <row r="13" spans="1:2" x14ac:dyDescent="0.35">
      <c r="A13" s="2" t="s">
        <v>188</v>
      </c>
      <c r="B13">
        <v>329.41</v>
      </c>
    </row>
    <row r="14" spans="1:2" x14ac:dyDescent="0.35">
      <c r="A14" s="2" t="s">
        <v>233</v>
      </c>
      <c r="B14">
        <v>171.61</v>
      </c>
    </row>
    <row r="15" spans="1:2" x14ac:dyDescent="0.35">
      <c r="A15" s="2" t="s">
        <v>384</v>
      </c>
      <c r="B15">
        <v>201.96</v>
      </c>
    </row>
    <row r="16" spans="1:2" x14ac:dyDescent="0.35">
      <c r="A16" s="2" t="s">
        <v>385</v>
      </c>
      <c r="B16">
        <v>467.995</v>
      </c>
    </row>
    <row r="17" spans="1:2" x14ac:dyDescent="0.35">
      <c r="A17" s="2" t="s">
        <v>198</v>
      </c>
      <c r="B17">
        <v>110.4</v>
      </c>
    </row>
    <row r="18" spans="1:2" x14ac:dyDescent="0.35">
      <c r="A18" s="2" t="s">
        <v>155</v>
      </c>
      <c r="B18">
        <v>135.80000000000001</v>
      </c>
    </row>
    <row r="19" spans="1:2" x14ac:dyDescent="0.35">
      <c r="A19" s="2" t="s">
        <v>191</v>
      </c>
      <c r="B19">
        <v>54.46</v>
      </c>
    </row>
    <row r="20" spans="1:2" x14ac:dyDescent="0.35">
      <c r="A20" s="2" t="s">
        <v>323</v>
      </c>
      <c r="B20">
        <v>188.77</v>
      </c>
    </row>
    <row r="21" spans="1:2" x14ac:dyDescent="0.35">
      <c r="A21" s="2" t="s">
        <v>243</v>
      </c>
      <c r="B21">
        <v>362.01</v>
      </c>
    </row>
    <row r="22" spans="1:2" x14ac:dyDescent="0.35">
      <c r="A22" s="2" t="s">
        <v>344</v>
      </c>
      <c r="B22">
        <v>444.87</v>
      </c>
    </row>
    <row r="23" spans="1:2" x14ac:dyDescent="0.35">
      <c r="A23" s="2" t="s">
        <v>386</v>
      </c>
      <c r="B23">
        <v>328.36</v>
      </c>
    </row>
    <row r="24" spans="1:2" x14ac:dyDescent="0.35">
      <c r="A24" s="2" t="s">
        <v>387</v>
      </c>
      <c r="B24">
        <v>166</v>
      </c>
    </row>
    <row r="25" spans="1:2" x14ac:dyDescent="0.35">
      <c r="A25" s="2" t="s">
        <v>388</v>
      </c>
      <c r="B25">
        <v>211.87666666666667</v>
      </c>
    </row>
    <row r="26" spans="1:2" x14ac:dyDescent="0.35">
      <c r="A26" s="2" t="s">
        <v>112</v>
      </c>
      <c r="B26">
        <v>58.51</v>
      </c>
    </row>
    <row r="27" spans="1:2" x14ac:dyDescent="0.35">
      <c r="A27" s="2" t="s">
        <v>230</v>
      </c>
      <c r="B27">
        <v>427.48</v>
      </c>
    </row>
    <row r="28" spans="1:2" x14ac:dyDescent="0.35">
      <c r="A28" s="2" t="s">
        <v>201</v>
      </c>
      <c r="B28">
        <v>76.27</v>
      </c>
    </row>
    <row r="29" spans="1:2" x14ac:dyDescent="0.35">
      <c r="A29" s="2" t="s">
        <v>143</v>
      </c>
      <c r="B29">
        <v>253.37</v>
      </c>
    </row>
    <row r="30" spans="1:2" x14ac:dyDescent="0.35">
      <c r="A30" s="2" t="s">
        <v>101</v>
      </c>
      <c r="B30">
        <v>238.93</v>
      </c>
    </row>
    <row r="31" spans="1:2" x14ac:dyDescent="0.35">
      <c r="A31" s="2" t="s">
        <v>389</v>
      </c>
      <c r="B31">
        <v>449.13</v>
      </c>
    </row>
    <row r="32" spans="1:2" x14ac:dyDescent="0.35">
      <c r="A32" s="2" t="s">
        <v>390</v>
      </c>
      <c r="B32">
        <v>286.43</v>
      </c>
    </row>
    <row r="33" spans="1:2" x14ac:dyDescent="0.35">
      <c r="A33" s="2" t="s">
        <v>238</v>
      </c>
      <c r="B33">
        <v>310.17</v>
      </c>
    </row>
    <row r="34" spans="1:2" x14ac:dyDescent="0.35">
      <c r="A34" s="2" t="s">
        <v>138</v>
      </c>
      <c r="B34">
        <v>267.36500000000001</v>
      </c>
    </row>
    <row r="35" spans="1:2" x14ac:dyDescent="0.35">
      <c r="A35" s="2" t="s">
        <v>270</v>
      </c>
      <c r="B35">
        <v>424.39</v>
      </c>
    </row>
    <row r="36" spans="1:2" x14ac:dyDescent="0.35">
      <c r="A36" s="2" t="s">
        <v>391</v>
      </c>
      <c r="B36">
        <v>391.38</v>
      </c>
    </row>
    <row r="37" spans="1:2" x14ac:dyDescent="0.35">
      <c r="A37" s="2" t="s">
        <v>392</v>
      </c>
      <c r="B37">
        <v>389.7</v>
      </c>
    </row>
    <row r="38" spans="1:2" x14ac:dyDescent="0.35">
      <c r="A38" s="2" t="s">
        <v>63</v>
      </c>
      <c r="B38">
        <v>456.31</v>
      </c>
    </row>
    <row r="39" spans="1:2" x14ac:dyDescent="0.35">
      <c r="A39" s="2" t="s">
        <v>87</v>
      </c>
      <c r="B39">
        <v>218.06</v>
      </c>
    </row>
    <row r="40" spans="1:2" x14ac:dyDescent="0.35">
      <c r="A40" s="2" t="s">
        <v>336</v>
      </c>
      <c r="B40">
        <v>421.95</v>
      </c>
    </row>
    <row r="41" spans="1:2" x14ac:dyDescent="0.35">
      <c r="A41" s="2" t="s">
        <v>77</v>
      </c>
      <c r="B41">
        <v>487.95</v>
      </c>
    </row>
    <row r="42" spans="1:2" x14ac:dyDescent="0.35">
      <c r="A42" s="2" t="s">
        <v>276</v>
      </c>
      <c r="B42">
        <v>454.57</v>
      </c>
    </row>
    <row r="43" spans="1:2" x14ac:dyDescent="0.35">
      <c r="A43" s="2" t="s">
        <v>316</v>
      </c>
      <c r="B43">
        <v>194.93</v>
      </c>
    </row>
    <row r="44" spans="1:2" x14ac:dyDescent="0.35">
      <c r="A44" s="2" t="s">
        <v>301</v>
      </c>
      <c r="B44">
        <v>113.88</v>
      </c>
    </row>
    <row r="45" spans="1:2" x14ac:dyDescent="0.35">
      <c r="A45" s="2" t="s">
        <v>393</v>
      </c>
      <c r="B45">
        <v>293.04000000000002</v>
      </c>
    </row>
    <row r="46" spans="1:2" x14ac:dyDescent="0.35">
      <c r="A46" s="2" t="s">
        <v>394</v>
      </c>
      <c r="B46">
        <v>477.63499999999999</v>
      </c>
    </row>
    <row r="47" spans="1:2" x14ac:dyDescent="0.35">
      <c r="A47" s="2" t="s">
        <v>395</v>
      </c>
      <c r="B47">
        <v>101.31</v>
      </c>
    </row>
    <row r="48" spans="1:2" x14ac:dyDescent="0.35">
      <c r="A48" s="2" t="s">
        <v>396</v>
      </c>
      <c r="B48">
        <v>275.37</v>
      </c>
    </row>
    <row r="49" spans="1:2" x14ac:dyDescent="0.35">
      <c r="A49" s="2" t="s">
        <v>52</v>
      </c>
      <c r="B49">
        <v>222.22</v>
      </c>
    </row>
    <row r="50" spans="1:2" x14ac:dyDescent="0.35">
      <c r="A50" s="2" t="s">
        <v>287</v>
      </c>
      <c r="B50">
        <v>354.87</v>
      </c>
    </row>
    <row r="51" spans="1:2" x14ac:dyDescent="0.35">
      <c r="A51" s="2" t="s">
        <v>290</v>
      </c>
      <c r="B51">
        <v>214.48</v>
      </c>
    </row>
    <row r="52" spans="1:2" x14ac:dyDescent="0.35">
      <c r="A52" s="2" t="s">
        <v>279</v>
      </c>
      <c r="B52">
        <v>298.38</v>
      </c>
    </row>
    <row r="53" spans="1:2" x14ac:dyDescent="0.35">
      <c r="A53" s="2" t="s">
        <v>397</v>
      </c>
      <c r="B53">
        <v>263.14999999999998</v>
      </c>
    </row>
    <row r="54" spans="1:2" x14ac:dyDescent="0.35">
      <c r="A54" s="2" t="s">
        <v>398</v>
      </c>
      <c r="B54">
        <v>392.08</v>
      </c>
    </row>
    <row r="55" spans="1:2" x14ac:dyDescent="0.35">
      <c r="A55" s="2" t="s">
        <v>399</v>
      </c>
      <c r="B55">
        <v>417.70499999999998</v>
      </c>
    </row>
    <row r="56" spans="1:2" x14ac:dyDescent="0.35">
      <c r="A56" s="2" t="s">
        <v>400</v>
      </c>
      <c r="B56">
        <v>333.32</v>
      </c>
    </row>
    <row r="57" spans="1:2" x14ac:dyDescent="0.35">
      <c r="A57" s="2" t="s">
        <v>319</v>
      </c>
      <c r="B57">
        <v>377.67</v>
      </c>
    </row>
    <row r="58" spans="1:2" x14ac:dyDescent="0.35">
      <c r="A58" s="2" t="s">
        <v>175</v>
      </c>
      <c r="B58">
        <v>52.34</v>
      </c>
    </row>
    <row r="59" spans="1:2" x14ac:dyDescent="0.35">
      <c r="A59" s="2" t="s">
        <v>146</v>
      </c>
      <c r="B59">
        <v>136.53</v>
      </c>
    </row>
    <row r="60" spans="1:2" x14ac:dyDescent="0.35">
      <c r="A60" s="2" t="s">
        <v>401</v>
      </c>
      <c r="B60">
        <v>61.22</v>
      </c>
    </row>
    <row r="61" spans="1:2" x14ac:dyDescent="0.35">
      <c r="A61" s="2" t="s">
        <v>402</v>
      </c>
      <c r="B61">
        <v>353.4</v>
      </c>
    </row>
    <row r="62" spans="1:2" x14ac:dyDescent="0.35">
      <c r="A62" s="2" t="s">
        <v>353</v>
      </c>
      <c r="B62">
        <v>450.66</v>
      </c>
    </row>
    <row r="63" spans="1:2" x14ac:dyDescent="0.35">
      <c r="A63" s="2" t="s">
        <v>273</v>
      </c>
      <c r="B63">
        <v>197.12</v>
      </c>
    </row>
    <row r="64" spans="1:2" x14ac:dyDescent="0.35">
      <c r="A64" s="2" t="s">
        <v>170</v>
      </c>
      <c r="B64">
        <v>295.29000000000002</v>
      </c>
    </row>
    <row r="65" spans="1:2" x14ac:dyDescent="0.35">
      <c r="A65" s="2" t="s">
        <v>225</v>
      </c>
      <c r="B65">
        <v>169.28</v>
      </c>
    </row>
    <row r="66" spans="1:2" x14ac:dyDescent="0.35">
      <c r="A66" s="2" t="s">
        <v>265</v>
      </c>
      <c r="B66">
        <v>368.4</v>
      </c>
    </row>
    <row r="67" spans="1:2" x14ac:dyDescent="0.35">
      <c r="A67" s="2" t="s">
        <v>333</v>
      </c>
      <c r="B67">
        <v>211.16</v>
      </c>
    </row>
    <row r="68" spans="1:2" x14ac:dyDescent="0.35">
      <c r="A68" s="2" t="s">
        <v>163</v>
      </c>
      <c r="B68">
        <v>433.82</v>
      </c>
    </row>
    <row r="69" spans="1:2" x14ac:dyDescent="0.35">
      <c r="A69" s="2" t="s">
        <v>403</v>
      </c>
      <c r="B69">
        <v>121.57</v>
      </c>
    </row>
    <row r="70" spans="1:2" x14ac:dyDescent="0.35">
      <c r="A70" s="2" t="s">
        <v>404</v>
      </c>
      <c r="B70">
        <v>382.24</v>
      </c>
    </row>
    <row r="71" spans="1:2" x14ac:dyDescent="0.35">
      <c r="A71" s="2" t="s">
        <v>405</v>
      </c>
      <c r="B71">
        <v>111.24</v>
      </c>
    </row>
    <row r="72" spans="1:2" x14ac:dyDescent="0.35">
      <c r="A72" s="2" t="s">
        <v>406</v>
      </c>
      <c r="B72">
        <v>418.83</v>
      </c>
    </row>
    <row r="73" spans="1:2" x14ac:dyDescent="0.35">
      <c r="A73" s="2" t="s">
        <v>407</v>
      </c>
      <c r="B73">
        <v>111.7</v>
      </c>
    </row>
    <row r="74" spans="1:2" x14ac:dyDescent="0.35">
      <c r="A74" s="2" t="s">
        <v>408</v>
      </c>
      <c r="B74">
        <v>240.28</v>
      </c>
    </row>
    <row r="75" spans="1:2" x14ac:dyDescent="0.35">
      <c r="A75" s="2" t="s">
        <v>356</v>
      </c>
      <c r="B75">
        <v>164.27</v>
      </c>
    </row>
    <row r="76" spans="1:2" x14ac:dyDescent="0.35">
      <c r="A76" s="2" t="s">
        <v>108</v>
      </c>
      <c r="B76">
        <v>224.22666666666666</v>
      </c>
    </row>
    <row r="77" spans="1:2" x14ac:dyDescent="0.35">
      <c r="A77" s="2" t="s">
        <v>124</v>
      </c>
      <c r="B77">
        <v>458.73</v>
      </c>
    </row>
    <row r="78" spans="1:2" x14ac:dyDescent="0.35">
      <c r="A78" s="2" t="s">
        <v>152</v>
      </c>
      <c r="B78">
        <v>169.51499999999999</v>
      </c>
    </row>
    <row r="79" spans="1:2" x14ac:dyDescent="0.35">
      <c r="A79" s="2" t="s">
        <v>134</v>
      </c>
      <c r="B79">
        <v>56.74</v>
      </c>
    </row>
    <row r="80" spans="1:2" x14ac:dyDescent="0.35">
      <c r="A80" s="2" t="s">
        <v>210</v>
      </c>
      <c r="B80">
        <v>227.57</v>
      </c>
    </row>
    <row r="81" spans="1:2" x14ac:dyDescent="0.35">
      <c r="A81" s="2" t="s">
        <v>249</v>
      </c>
      <c r="B81">
        <v>395.97</v>
      </c>
    </row>
    <row r="82" spans="1:2" x14ac:dyDescent="0.35">
      <c r="A82" s="2" t="s">
        <v>216</v>
      </c>
      <c r="B82">
        <v>423.92</v>
      </c>
    </row>
    <row r="83" spans="1:2" x14ac:dyDescent="0.35">
      <c r="A83" s="2" t="s">
        <v>206</v>
      </c>
      <c r="B83">
        <v>51.22</v>
      </c>
    </row>
    <row r="84" spans="1:2" x14ac:dyDescent="0.35">
      <c r="A84" s="2" t="s">
        <v>361</v>
      </c>
      <c r="B84">
        <v>377.77</v>
      </c>
    </row>
    <row r="85" spans="1:2" x14ac:dyDescent="0.35">
      <c r="A85" s="2" t="s">
        <v>409</v>
      </c>
      <c r="B85">
        <v>215.54</v>
      </c>
    </row>
    <row r="86" spans="1:2" x14ac:dyDescent="0.35">
      <c r="A86" s="2" t="s">
        <v>410</v>
      </c>
      <c r="B86">
        <v>138.88</v>
      </c>
    </row>
    <row r="87" spans="1:2" x14ac:dyDescent="0.35">
      <c r="A87" s="2" t="s">
        <v>411</v>
      </c>
      <c r="B87">
        <v>490.75</v>
      </c>
    </row>
    <row r="88" spans="1:2" x14ac:dyDescent="0.35">
      <c r="A88" s="2" t="s">
        <v>412</v>
      </c>
      <c r="B88">
        <v>308.99</v>
      </c>
    </row>
    <row r="89" spans="1:2" x14ac:dyDescent="0.35">
      <c r="A89" s="2" t="s">
        <v>183</v>
      </c>
      <c r="B89">
        <v>371.58</v>
      </c>
    </row>
    <row r="90" spans="1:2" x14ac:dyDescent="0.35">
      <c r="A90" s="2" t="s">
        <v>298</v>
      </c>
      <c r="B90">
        <v>79</v>
      </c>
    </row>
    <row r="91" spans="1:2" x14ac:dyDescent="0.35">
      <c r="A91" s="2" t="s">
        <v>326</v>
      </c>
      <c r="B91">
        <v>366.77</v>
      </c>
    </row>
    <row r="92" spans="1:2" x14ac:dyDescent="0.35">
      <c r="A92" s="2" t="s">
        <v>258</v>
      </c>
      <c r="B92">
        <v>223.47</v>
      </c>
    </row>
    <row r="93" spans="1:2" x14ac:dyDescent="0.35">
      <c r="A93" s="2" t="s">
        <v>293</v>
      </c>
      <c r="B93">
        <v>399.58</v>
      </c>
    </row>
    <row r="94" spans="1:2" x14ac:dyDescent="0.35">
      <c r="A94" s="2" t="s">
        <v>413</v>
      </c>
      <c r="B94">
        <v>254.66</v>
      </c>
    </row>
    <row r="95" spans="1:2" x14ac:dyDescent="0.35">
      <c r="A95" s="2" t="s">
        <v>367</v>
      </c>
      <c r="B95">
        <v>283.20185185185187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9F73-4B4D-4B0A-A8A6-0E0338DFFE91}">
  <dimension ref="A3:K28"/>
  <sheetViews>
    <sheetView tabSelected="1" topLeftCell="A9" workbookViewId="0">
      <selection activeCell="P13" sqref="P13"/>
    </sheetView>
  </sheetViews>
  <sheetFormatPr defaultRowHeight="14.5" x14ac:dyDescent="0.35"/>
  <cols>
    <col min="1" max="1" width="20" bestFit="1" customWidth="1"/>
    <col min="2" max="2" width="22.453125" bestFit="1" customWidth="1"/>
  </cols>
  <sheetData>
    <row r="3" spans="1:2" x14ac:dyDescent="0.35">
      <c r="A3" s="1" t="s">
        <v>366</v>
      </c>
      <c r="B3" t="s">
        <v>377</v>
      </c>
    </row>
    <row r="4" spans="1:2" x14ac:dyDescent="0.35">
      <c r="A4" s="2" t="s">
        <v>107</v>
      </c>
      <c r="B4">
        <v>1872.26</v>
      </c>
    </row>
    <row r="5" spans="1:2" x14ac:dyDescent="0.35">
      <c r="A5" s="2" t="s">
        <v>149</v>
      </c>
      <c r="B5">
        <v>1193.4000000000001</v>
      </c>
    </row>
    <row r="6" spans="1:2" x14ac:dyDescent="0.35">
      <c r="A6" s="2" t="s">
        <v>133</v>
      </c>
      <c r="B6">
        <v>418.75</v>
      </c>
    </row>
    <row r="7" spans="1:2" x14ac:dyDescent="0.35">
      <c r="A7" s="2" t="s">
        <v>215</v>
      </c>
      <c r="B7">
        <v>693.34999999999991</v>
      </c>
    </row>
    <row r="8" spans="1:2" x14ac:dyDescent="0.35">
      <c r="A8" s="2" t="s">
        <v>86</v>
      </c>
      <c r="B8">
        <v>1724.1499999999999</v>
      </c>
    </row>
    <row r="9" spans="1:2" x14ac:dyDescent="0.35">
      <c r="A9" s="2" t="s">
        <v>209</v>
      </c>
      <c r="B9">
        <v>712.96</v>
      </c>
    </row>
    <row r="10" spans="1:2" x14ac:dyDescent="0.35">
      <c r="A10" s="2" t="s">
        <v>127</v>
      </c>
      <c r="B10">
        <v>1094.51</v>
      </c>
    </row>
    <row r="11" spans="1:2" x14ac:dyDescent="0.35">
      <c r="A11" s="2" t="s">
        <v>47</v>
      </c>
      <c r="B11">
        <v>2223.0500000000002</v>
      </c>
    </row>
    <row r="12" spans="1:2" x14ac:dyDescent="0.35">
      <c r="A12" s="2" t="s">
        <v>73</v>
      </c>
      <c r="B12">
        <v>2527.1000000000004</v>
      </c>
    </row>
    <row r="13" spans="1:2" x14ac:dyDescent="0.35">
      <c r="A13" s="2" t="s">
        <v>34</v>
      </c>
      <c r="B13">
        <v>688.5</v>
      </c>
    </row>
    <row r="14" spans="1:2" x14ac:dyDescent="0.35">
      <c r="A14" s="2" t="s">
        <v>178</v>
      </c>
      <c r="B14">
        <v>830.94999999999993</v>
      </c>
    </row>
    <row r="15" spans="1:2" x14ac:dyDescent="0.35">
      <c r="A15" s="2" t="s">
        <v>111</v>
      </c>
      <c r="B15">
        <v>1751.8000000000002</v>
      </c>
    </row>
    <row r="16" spans="1:2" x14ac:dyDescent="0.35">
      <c r="A16" s="2" t="s">
        <v>158</v>
      </c>
      <c r="B16">
        <v>794.9</v>
      </c>
    </row>
    <row r="17" spans="1:11" x14ac:dyDescent="0.35">
      <c r="A17" s="2" t="s">
        <v>67</v>
      </c>
      <c r="B17">
        <v>702.75</v>
      </c>
    </row>
    <row r="18" spans="1:11" x14ac:dyDescent="0.35">
      <c r="A18" s="2" t="s">
        <v>115</v>
      </c>
      <c r="B18">
        <v>980.63000000000011</v>
      </c>
    </row>
    <row r="19" spans="1:11" x14ac:dyDescent="0.35">
      <c r="A19" s="2" t="s">
        <v>286</v>
      </c>
      <c r="B19">
        <v>532.91</v>
      </c>
    </row>
    <row r="20" spans="1:11" x14ac:dyDescent="0.35">
      <c r="A20" s="2" t="s">
        <v>104</v>
      </c>
      <c r="B20">
        <v>728.64</v>
      </c>
    </row>
    <row r="21" spans="1:11" x14ac:dyDescent="0.35">
      <c r="A21" s="2" t="s">
        <v>98</v>
      </c>
      <c r="B21">
        <v>2226.65</v>
      </c>
    </row>
    <row r="22" spans="1:11" x14ac:dyDescent="0.35">
      <c r="A22" s="2" t="s">
        <v>59</v>
      </c>
      <c r="B22">
        <v>1970.3900000000003</v>
      </c>
    </row>
    <row r="23" spans="1:11" x14ac:dyDescent="0.35">
      <c r="A23" s="2" t="s">
        <v>123</v>
      </c>
      <c r="B23">
        <v>590.91999999999996</v>
      </c>
    </row>
    <row r="24" spans="1:11" x14ac:dyDescent="0.35">
      <c r="A24" s="2" t="s">
        <v>130</v>
      </c>
      <c r="B24">
        <v>2024.6399999999999</v>
      </c>
    </row>
    <row r="25" spans="1:11" x14ac:dyDescent="0.35">
      <c r="A25" s="2" t="s">
        <v>95</v>
      </c>
      <c r="B25">
        <v>1719.19</v>
      </c>
      <c r="K25" s="6"/>
    </row>
    <row r="26" spans="1:11" x14ac:dyDescent="0.35">
      <c r="A26" s="2" t="s">
        <v>137</v>
      </c>
      <c r="B26">
        <v>1538.86</v>
      </c>
    </row>
    <row r="27" spans="1:11" x14ac:dyDescent="0.35">
      <c r="A27" s="2" t="s">
        <v>222</v>
      </c>
      <c r="B27">
        <v>1044.54</v>
      </c>
    </row>
    <row r="28" spans="1:11" x14ac:dyDescent="0.35">
      <c r="A28" s="2" t="s">
        <v>367</v>
      </c>
      <c r="B28">
        <v>30585.800000000003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3table</vt:lpstr>
      <vt:lpstr>average and sum purchase</vt:lpstr>
      <vt:lpstr>average purchase for gender</vt:lpstr>
      <vt:lpstr>distribution chart</vt:lpstr>
      <vt:lpstr>average purchase amount, time</vt:lpstr>
      <vt:lpstr>category sales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Manyara Bonface Baraka</dc:creator>
  <cp:lastModifiedBy>alicia munyao</cp:lastModifiedBy>
  <dcterms:created xsi:type="dcterms:W3CDTF">2025-09-15T16:21:41Z</dcterms:created>
  <dcterms:modified xsi:type="dcterms:W3CDTF">2025-09-25T08:19:33Z</dcterms:modified>
</cp:coreProperties>
</file>